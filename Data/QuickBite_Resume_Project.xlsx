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E37C35FE-7B2A-4CB5-8373-05F50DF78AB9}" xr6:coauthVersionLast="47" xr6:coauthVersionMax="47" xr10:uidLastSave="{00000000-0000-0000-0000-000000000000}"/>
  <bookViews>
    <workbookView xWindow="-108" yWindow="-108" windowWidth="23256" windowHeight="12456" activeTab="1" xr2:uid="{9E38BFC2-9239-4A72-80F8-3B6C1AE82854}"/>
  </bookViews>
  <sheets>
    <sheet name="Data" sheetId="1" r:id="rId1"/>
    <sheet name="Dashboard"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5" i="1" l="1"/>
  <c r="H25" i="1" s="1"/>
  <c r="G24" i="1"/>
  <c r="H24" i="1" s="1"/>
  <c r="G23" i="1"/>
  <c r="H23" i="1" s="1"/>
</calcChain>
</file>

<file path=xl/sharedStrings.xml><?xml version="1.0" encoding="utf-8"?>
<sst xmlns="http://schemas.openxmlformats.org/spreadsheetml/2006/main" count="230" uniqueCount="121">
  <si>
    <t>Phase</t>
  </si>
  <si>
    <t>count</t>
  </si>
  <si>
    <t>pre-crisis</t>
  </si>
  <si>
    <t>post-crisis</t>
  </si>
  <si>
    <t>crisis</t>
  </si>
  <si>
    <t>Proportion</t>
  </si>
  <si>
    <t>customer_segment</t>
  </si>
  <si>
    <t>Lost</t>
  </si>
  <si>
    <t>New</t>
  </si>
  <si>
    <t>Loyal</t>
  </si>
  <si>
    <t>Total no.of orders per phase</t>
  </si>
  <si>
    <t>total_orders</t>
  </si>
  <si>
    <t>total_revenue</t>
  </si>
  <si>
    <t>Total Revenue Per Phase</t>
  </si>
  <si>
    <t>total_revenue_in_M</t>
  </si>
  <si>
    <t>37.6M</t>
  </si>
  <si>
    <t>2.8M</t>
  </si>
  <si>
    <t>8.1M</t>
  </si>
  <si>
    <t>Mode  of Payment Across Phases</t>
  </si>
  <si>
    <t>COD</t>
  </si>
  <si>
    <t>Online_Payment</t>
  </si>
  <si>
    <t>Order cancallation across Phases</t>
  </si>
  <si>
    <t>Cancelled</t>
  </si>
  <si>
    <t>Not Cancelled</t>
  </si>
  <si>
    <t>Total Orders</t>
  </si>
  <si>
    <t>CancellationRate (%)</t>
  </si>
  <si>
    <t>Cuisine Type</t>
  </si>
  <si>
    <t>Biryani</t>
  </si>
  <si>
    <t>Chinese</t>
  </si>
  <si>
    <t>Desserts</t>
  </si>
  <si>
    <t>Fast Food</t>
  </si>
  <si>
    <t>Healthy</t>
  </si>
  <si>
    <t>North Indian</t>
  </si>
  <si>
    <t>Pizza</t>
  </si>
  <si>
    <t>South Indian</t>
  </si>
  <si>
    <t>Ahmedabad</t>
  </si>
  <si>
    <t>Bengaluru</t>
  </si>
  <si>
    <t>Chennai</t>
  </si>
  <si>
    <t>Delhi</t>
  </si>
  <si>
    <t>Hyderabad</t>
  </si>
  <si>
    <t>Kolkata</t>
  </si>
  <si>
    <t>Mumbai</t>
  </si>
  <si>
    <t>Pune</t>
  </si>
  <si>
    <t>City</t>
  </si>
  <si>
    <t>post-ctrisis</t>
  </si>
  <si>
    <t>Cloud Kitchen</t>
  </si>
  <si>
    <t>Restaurant</t>
  </si>
  <si>
    <t>Partner Type</t>
  </si>
  <si>
    <t>Partner Type Trends Across Phases</t>
  </si>
  <si>
    <t>phase</t>
  </si>
  <si>
    <t>avg_order_value_or</t>
  </si>
  <si>
    <t>AOV per Order</t>
  </si>
  <si>
    <t>avg_order_value_cus</t>
  </si>
  <si>
    <t>AOV per Customer</t>
  </si>
  <si>
    <t>Monday</t>
  </si>
  <si>
    <t>Tuesday</t>
  </si>
  <si>
    <t>Wednesday</t>
  </si>
  <si>
    <t>Thursday</t>
  </si>
  <si>
    <t>Friday</t>
  </si>
  <si>
    <t>Saturday</t>
  </si>
  <si>
    <t>Sunday</t>
  </si>
  <si>
    <t>Days</t>
  </si>
  <si>
    <t>Day-wise Order Trends Across Phases</t>
  </si>
  <si>
    <t>16-25</t>
  </si>
  <si>
    <t>26-40</t>
  </si>
  <si>
    <t>&lt;=15</t>
  </si>
  <si>
    <t>&gt;40</t>
  </si>
  <si>
    <t>avg_prep_time</t>
  </si>
  <si>
    <t>Average Preparation Time Trends Across Phases</t>
  </si>
  <si>
    <t>SLA(%)</t>
  </si>
  <si>
    <t>restaurant_name</t>
  </si>
  <si>
    <t>Punjabi Express Central</t>
  </si>
  <si>
    <t>Hot &amp; Crispy Biryani Heaven</t>
  </si>
  <si>
    <t>Thindi Mane Pizza Cafe</t>
  </si>
  <si>
    <t>Hot &amp; Crispy Kitchen Clouds</t>
  </si>
  <si>
    <t>Classic Tandoor Heaven</t>
  </si>
  <si>
    <t>Annapurna Mess Corner</t>
  </si>
  <si>
    <t>Tandoori Cafe Corner</t>
  </si>
  <si>
    <t>Spicy Curry Zone</t>
  </si>
  <si>
    <t>Thindi Mane Grill Darbar</t>
  </si>
  <si>
    <t>Hot &amp; Crispy Darshini Clouds</t>
  </si>
  <si>
    <t>Madras Delights Central</t>
  </si>
  <si>
    <t>Spicy House Hub</t>
  </si>
  <si>
    <t>Restaurant_name</t>
  </si>
  <si>
    <t>Top 10 Restaurant with Highest Revenue</t>
  </si>
  <si>
    <t>Top 10 Restaurant with Highest no.of Orders</t>
  </si>
  <si>
    <t>city</t>
  </si>
  <si>
    <t>restaurant_count</t>
  </si>
  <si>
    <t>drop_pct</t>
  </si>
  <si>
    <t>recovery_pct</t>
  </si>
  <si>
    <t>Moderate Recovery</t>
  </si>
  <si>
    <t>Strong Recovery</t>
  </si>
  <si>
    <t>Reactivated / New</t>
  </si>
  <si>
    <t>Declining / At Risk</t>
  </si>
  <si>
    <t>% of Restaurants</t>
  </si>
  <si>
    <t>SLA% v/s Phase</t>
  </si>
  <si>
    <t>Cities with total restaurant count</t>
  </si>
  <si>
    <t>Namma Biryani Clouds</t>
  </si>
  <si>
    <t>Taste of Paratha Adda</t>
  </si>
  <si>
    <t>Punjabi Delights Mahal</t>
  </si>
  <si>
    <t>Taste of Thali Heaven</t>
  </si>
  <si>
    <t>Kolkata Cafe Cafe</t>
  </si>
  <si>
    <t>Bombay Darshini Adda</t>
  </si>
  <si>
    <t>Annapurna Kitchen Mahal</t>
  </si>
  <si>
    <t>Bombay Delights Hub</t>
  </si>
  <si>
    <t>Kolkata Paratha Central</t>
  </si>
  <si>
    <t>Sri Thali Clouds</t>
  </si>
  <si>
    <t>Last 10 Restaurant based on Revenue</t>
  </si>
  <si>
    <t>recovery_category</t>
  </si>
  <si>
    <t>National Recovery Distribution of Restaurants</t>
  </si>
  <si>
    <t>Recovery_Category</t>
  </si>
  <si>
    <t>% of Restaurant</t>
  </si>
  <si>
    <t>City-Level Restaurant Recovery Comparison</t>
  </si>
  <si>
    <t>City-level summary recovery</t>
  </si>
  <si>
    <t>total</t>
  </si>
  <si>
    <t>Restaurant-level breakdown</t>
  </si>
  <si>
    <t>avg_delay</t>
  </si>
  <si>
    <t>sla_met_pct</t>
  </si>
  <si>
    <t>avg_rating</t>
  </si>
  <si>
    <t>avg_sentiment</t>
  </si>
  <si>
    <t>num_reviews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</si>
</sst>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0" fontId="0" fillId="0" borderId="0" xfId="0" applyNumberFormat="1"/>
    <xf numFmtId="2" fontId="0" fillId="0" borderId="0" xfId="0" applyNumberFormat="1"/>
    <xf numFmtId="0" fontId="1" fillId="0" borderId="0" xfId="0" applyFont="1" applyAlignment="1">
      <alignment horizontal="right" vertical="center" wrapText="1"/>
    </xf>
    <xf numFmtId="0" fontId="0" fillId="0" borderId="0" xfId="0" applyAlignment="1">
      <alignment horizontal="right"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colors>
    <mruColors>
      <color rgb="FF9E480E"/>
      <color rgb="FF264478"/>
      <color rgb="FF6BCB77"/>
      <color rgb="FF0081CF"/>
      <color rgb="FFFFC000"/>
      <color rgb="FFFF6B6B"/>
      <color rgb="FFED7D31"/>
      <color rgb="FF845EC2"/>
      <color rgb="FFFFC75F"/>
      <color rgb="FF26A69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Customer ordered per phase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Data!$B$6</c:f>
              <c:strCache>
                <c:ptCount val="1"/>
                <c:pt idx="0">
                  <c:v>count</c:v>
                </c:pt>
              </c:strCache>
            </c:strRef>
          </c:tx>
          <c:spPr>
            <a:solidFill>
              <a:schemeClr val="accent1"/>
            </a:solidFill>
            <a:ln>
              <a:noFill/>
            </a:ln>
            <a:effectLst/>
            <a:sp3d/>
          </c:spPr>
          <c:invertIfNegative val="0"/>
          <c:dPt>
            <c:idx val="0"/>
            <c:invertIfNegative val="0"/>
            <c:bubble3D val="0"/>
            <c:spPr>
              <a:solidFill>
                <a:srgbClr val="00B050"/>
              </a:solidFill>
              <a:ln>
                <a:noFill/>
              </a:ln>
              <a:effectLst/>
              <a:sp3d/>
            </c:spPr>
            <c:extLst>
              <c:ext xmlns:c16="http://schemas.microsoft.com/office/drawing/2014/chart" uri="{C3380CC4-5D6E-409C-BE32-E72D297353CC}">
                <c16:uniqueId val="{00000001-E9F5-4906-A675-AAA480EABBBE}"/>
              </c:ext>
            </c:extLst>
          </c:dPt>
          <c:dPt>
            <c:idx val="1"/>
            <c:invertIfNegative val="0"/>
            <c:bubble3D val="0"/>
            <c:spPr>
              <a:solidFill>
                <a:srgbClr val="C00000"/>
              </a:solidFill>
              <a:ln>
                <a:noFill/>
              </a:ln>
              <a:effectLst/>
              <a:sp3d/>
            </c:spPr>
            <c:extLst>
              <c:ext xmlns:c16="http://schemas.microsoft.com/office/drawing/2014/chart" uri="{C3380CC4-5D6E-409C-BE32-E72D297353CC}">
                <c16:uniqueId val="{00000003-E9F5-4906-A675-AAA480EABBBE}"/>
              </c:ext>
            </c:extLst>
          </c:dPt>
          <c:dPt>
            <c:idx val="2"/>
            <c:invertIfNegative val="0"/>
            <c:bubble3D val="0"/>
            <c:spPr>
              <a:solidFill>
                <a:schemeClr val="accent1"/>
              </a:solidFill>
              <a:ln>
                <a:noFill/>
              </a:ln>
              <a:effectLst/>
              <a:sp3d/>
            </c:spPr>
            <c:extLst>
              <c:ext xmlns:c16="http://schemas.microsoft.com/office/drawing/2014/chart" uri="{C3380CC4-5D6E-409C-BE32-E72D297353CC}">
                <c16:uniqueId val="{00000002-E9F5-4906-A675-AAA480EABBB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Data!$A$7:$A$9</c:f>
              <c:strCache>
                <c:ptCount val="3"/>
                <c:pt idx="0">
                  <c:v>pre-crisis</c:v>
                </c:pt>
                <c:pt idx="1">
                  <c:v>crisis</c:v>
                </c:pt>
                <c:pt idx="2">
                  <c:v>post-crisis</c:v>
                </c:pt>
              </c:strCache>
            </c:strRef>
          </c:cat>
          <c:val>
            <c:numRef>
              <c:f>Data!$B$7:$B$9</c:f>
              <c:numCache>
                <c:formatCode>General</c:formatCode>
                <c:ptCount val="3"/>
                <c:pt idx="0">
                  <c:v>70358</c:v>
                </c:pt>
                <c:pt idx="1">
                  <c:v>7141</c:v>
                </c:pt>
                <c:pt idx="2">
                  <c:v>22524</c:v>
                </c:pt>
              </c:numCache>
            </c:numRef>
          </c:val>
          <c:extLst>
            <c:ext xmlns:c16="http://schemas.microsoft.com/office/drawing/2014/chart" uri="{C3380CC4-5D6E-409C-BE32-E72D297353CC}">
              <c16:uniqueId val="{00000000-E9F5-4906-A675-AAA480EABBBE}"/>
            </c:ext>
          </c:extLst>
        </c:ser>
        <c:dLbls>
          <c:showLegendKey val="0"/>
          <c:showVal val="1"/>
          <c:showCatName val="0"/>
          <c:showSerName val="0"/>
          <c:showPercent val="0"/>
          <c:showBubbleSize val="0"/>
        </c:dLbls>
        <c:gapWidth val="150"/>
        <c:shape val="box"/>
        <c:axId val="638342016"/>
        <c:axId val="749460192"/>
        <c:axId val="0"/>
      </c:bar3DChart>
      <c:catAx>
        <c:axId val="6383420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0">
                    <a:latin typeface="Arial Black" panose="020B0A04020102020204" pitchFamily="34" charset="0"/>
                  </a:rPr>
                  <a:t>Phase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460192"/>
        <c:crosses val="autoZero"/>
        <c:auto val="1"/>
        <c:lblAlgn val="ctr"/>
        <c:lblOffset val="100"/>
        <c:noMultiLvlLbl val="0"/>
      </c:catAx>
      <c:valAx>
        <c:axId val="7494601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latin typeface="Arial Black" panose="020B0A04020102020204" pitchFamily="34" charset="0"/>
                  </a:rPr>
                  <a:t>Count</a:t>
                </a:r>
              </a:p>
            </c:rich>
          </c:tx>
          <c:layout>
            <c:manualLayout>
              <c:xMode val="edge"/>
              <c:yMode val="edge"/>
              <c:x val="5.2855613718676232E-2"/>
              <c:y val="0.415574878982823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342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Order Proportion v/s Phase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Data!$B$11</c:f>
              <c:strCache>
                <c:ptCount val="1"/>
                <c:pt idx="0">
                  <c:v>Proportion</c:v>
                </c:pt>
              </c:strCache>
            </c:strRef>
          </c:tx>
          <c:spPr>
            <a:solidFill>
              <a:schemeClr val="accent1"/>
            </a:solidFill>
            <a:ln>
              <a:noFill/>
            </a:ln>
            <a:effectLst/>
            <a:sp3d/>
          </c:spPr>
          <c:invertIfNegative val="0"/>
          <c:dPt>
            <c:idx val="0"/>
            <c:invertIfNegative val="0"/>
            <c:bubble3D val="0"/>
            <c:spPr>
              <a:solidFill>
                <a:srgbClr val="00B050"/>
              </a:solidFill>
              <a:ln>
                <a:noFill/>
              </a:ln>
              <a:effectLst/>
              <a:sp3d/>
            </c:spPr>
            <c:extLst>
              <c:ext xmlns:c16="http://schemas.microsoft.com/office/drawing/2014/chart" uri="{C3380CC4-5D6E-409C-BE32-E72D297353CC}">
                <c16:uniqueId val="{00000001-C785-4A0E-946C-D4BFB6B5E846}"/>
              </c:ext>
            </c:extLst>
          </c:dPt>
          <c:dPt>
            <c:idx val="1"/>
            <c:invertIfNegative val="0"/>
            <c:bubble3D val="0"/>
            <c:spPr>
              <a:solidFill>
                <a:srgbClr val="C00000"/>
              </a:solidFill>
              <a:ln>
                <a:noFill/>
              </a:ln>
              <a:effectLst/>
              <a:sp3d/>
            </c:spPr>
            <c:extLst>
              <c:ext xmlns:c16="http://schemas.microsoft.com/office/drawing/2014/chart" uri="{C3380CC4-5D6E-409C-BE32-E72D297353CC}">
                <c16:uniqueId val="{00000002-C785-4A0E-946C-D4BFB6B5E84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Data!$A$12:$A$14</c:f>
              <c:strCache>
                <c:ptCount val="3"/>
                <c:pt idx="0">
                  <c:v>pre-crisis</c:v>
                </c:pt>
                <c:pt idx="1">
                  <c:v>crisis</c:v>
                </c:pt>
                <c:pt idx="2">
                  <c:v>post-crisis</c:v>
                </c:pt>
              </c:strCache>
            </c:strRef>
          </c:cat>
          <c:val>
            <c:numRef>
              <c:f>Data!$B$12:$B$14</c:f>
              <c:numCache>
                <c:formatCode>0.00%</c:formatCode>
                <c:ptCount val="3"/>
                <c:pt idx="0">
                  <c:v>0.70340000000000003</c:v>
                </c:pt>
                <c:pt idx="1">
                  <c:v>7.1400000000000005E-2</c:v>
                </c:pt>
                <c:pt idx="2">
                  <c:v>0.22520000000000001</c:v>
                </c:pt>
              </c:numCache>
            </c:numRef>
          </c:val>
          <c:extLst>
            <c:ext xmlns:c16="http://schemas.microsoft.com/office/drawing/2014/chart" uri="{C3380CC4-5D6E-409C-BE32-E72D297353CC}">
              <c16:uniqueId val="{00000000-C785-4A0E-946C-D4BFB6B5E846}"/>
            </c:ext>
          </c:extLst>
        </c:ser>
        <c:dLbls>
          <c:showLegendKey val="0"/>
          <c:showVal val="1"/>
          <c:showCatName val="0"/>
          <c:showSerName val="0"/>
          <c:showPercent val="0"/>
          <c:showBubbleSize val="0"/>
        </c:dLbls>
        <c:gapWidth val="150"/>
        <c:shape val="box"/>
        <c:axId val="681359520"/>
        <c:axId val="681359040"/>
        <c:axId val="0"/>
      </c:bar3DChart>
      <c:catAx>
        <c:axId val="6813595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latin typeface="Arial Black" panose="020B0A04020102020204" pitchFamily="34" charset="0"/>
                  </a:rPr>
                  <a:t>Phase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359040"/>
        <c:crosses val="autoZero"/>
        <c:auto val="1"/>
        <c:lblAlgn val="ctr"/>
        <c:lblOffset val="100"/>
        <c:noMultiLvlLbl val="0"/>
      </c:catAx>
      <c:valAx>
        <c:axId val="6813590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latin typeface="Arial Black" panose="020B0A04020102020204" pitchFamily="34" charset="0"/>
                  </a:rPr>
                  <a:t>Proportion</a:t>
                </a:r>
              </a:p>
            </c:rich>
          </c:tx>
          <c:layout>
            <c:manualLayout>
              <c:xMode val="edge"/>
              <c:yMode val="edge"/>
              <c:x val="5.3903607265698289E-2"/>
              <c:y val="0.3902726531164281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359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Loyalty</a:t>
            </a:r>
            <a:r>
              <a:rPr lang="en-US" baseline="0"/>
              <a:t> Check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Data!$B$16</c:f>
              <c:strCache>
                <c:ptCount val="1"/>
                <c:pt idx="0">
                  <c:v>Proportion</c:v>
                </c:pt>
              </c:strCache>
            </c:strRef>
          </c:tx>
          <c:spPr>
            <a:solidFill>
              <a:schemeClr val="accent1"/>
            </a:solidFill>
            <a:ln>
              <a:noFill/>
            </a:ln>
            <a:effectLst/>
            <a:sp3d/>
          </c:spPr>
          <c:invertIfNegative val="0"/>
          <c:dPt>
            <c:idx val="0"/>
            <c:invertIfNegative val="0"/>
            <c:bubble3D val="0"/>
            <c:spPr>
              <a:solidFill>
                <a:srgbClr val="C00000"/>
              </a:solidFill>
              <a:ln>
                <a:noFill/>
              </a:ln>
              <a:effectLst/>
              <a:sp3d/>
            </c:spPr>
            <c:extLst>
              <c:ext xmlns:c16="http://schemas.microsoft.com/office/drawing/2014/chart" uri="{C3380CC4-5D6E-409C-BE32-E72D297353CC}">
                <c16:uniqueId val="{00000001-6245-46E1-99ED-BF9CDEC692D6}"/>
              </c:ext>
            </c:extLst>
          </c:dPt>
          <c:dPt>
            <c:idx val="2"/>
            <c:invertIfNegative val="0"/>
            <c:bubble3D val="0"/>
            <c:spPr>
              <a:solidFill>
                <a:srgbClr val="00B050"/>
              </a:solidFill>
              <a:ln>
                <a:noFill/>
              </a:ln>
              <a:effectLst/>
              <a:sp3d/>
            </c:spPr>
            <c:extLst>
              <c:ext xmlns:c16="http://schemas.microsoft.com/office/drawing/2014/chart" uri="{C3380CC4-5D6E-409C-BE32-E72D297353CC}">
                <c16:uniqueId val="{00000002-6245-46E1-99ED-BF9CDEC692D6}"/>
              </c:ext>
            </c:extLst>
          </c:dPt>
          <c:dLbls>
            <c:dLbl>
              <c:idx val="0"/>
              <c:tx>
                <c:rich>
                  <a:bodyPr/>
                  <a:lstStyle/>
                  <a:p>
                    <a:fld id="{94600C37-63A7-4E30-9ABE-8EC7F837A7B1}" type="VALUE">
                      <a:rPr lang="en-US" sz="1050"/>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6245-46E1-99ED-BF9CDEC692D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Data!$A$17:$A$19</c:f>
              <c:strCache>
                <c:ptCount val="3"/>
                <c:pt idx="0">
                  <c:v>Lost</c:v>
                </c:pt>
                <c:pt idx="1">
                  <c:v>New</c:v>
                </c:pt>
                <c:pt idx="2">
                  <c:v>Loyal</c:v>
                </c:pt>
              </c:strCache>
            </c:strRef>
          </c:cat>
          <c:val>
            <c:numRef>
              <c:f>Data!$B$17:$B$19</c:f>
              <c:numCache>
                <c:formatCode>0.00%</c:formatCode>
                <c:ptCount val="3"/>
                <c:pt idx="0">
                  <c:v>0.76349999999999996</c:v>
                </c:pt>
                <c:pt idx="1">
                  <c:v>0.22520000000000001</c:v>
                </c:pt>
                <c:pt idx="2">
                  <c:v>1.1299999999999999E-2</c:v>
                </c:pt>
              </c:numCache>
            </c:numRef>
          </c:val>
          <c:extLst>
            <c:ext xmlns:c16="http://schemas.microsoft.com/office/drawing/2014/chart" uri="{C3380CC4-5D6E-409C-BE32-E72D297353CC}">
              <c16:uniqueId val="{00000000-6245-46E1-99ED-BF9CDEC692D6}"/>
            </c:ext>
          </c:extLst>
        </c:ser>
        <c:dLbls>
          <c:showLegendKey val="0"/>
          <c:showVal val="1"/>
          <c:showCatName val="0"/>
          <c:showSerName val="0"/>
          <c:showPercent val="0"/>
          <c:showBubbleSize val="0"/>
        </c:dLbls>
        <c:gapWidth val="150"/>
        <c:shape val="box"/>
        <c:axId val="535990720"/>
        <c:axId val="535992160"/>
        <c:axId val="0"/>
      </c:bar3DChart>
      <c:catAx>
        <c:axId val="5359907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latin typeface="Arial Black" panose="020B0A04020102020204" pitchFamily="34" charset="0"/>
                  </a:rPr>
                  <a:t>Customer</a:t>
                </a:r>
                <a:r>
                  <a:rPr lang="en-IN" baseline="0">
                    <a:latin typeface="Arial Black" panose="020B0A04020102020204" pitchFamily="34" charset="0"/>
                  </a:rPr>
                  <a:t> Segment</a:t>
                </a:r>
                <a:endParaRPr lang="en-IN">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992160"/>
        <c:crosses val="autoZero"/>
        <c:auto val="1"/>
        <c:lblAlgn val="ctr"/>
        <c:lblOffset val="100"/>
        <c:noMultiLvlLbl val="0"/>
      </c:catAx>
      <c:valAx>
        <c:axId val="5359921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latin typeface="Arial Black" panose="020B0A04020102020204" pitchFamily="34" charset="0"/>
                  </a:rPr>
                  <a:t>Proportion</a:t>
                </a:r>
              </a:p>
            </c:rich>
          </c:tx>
          <c:layout>
            <c:manualLayout>
              <c:xMode val="edge"/>
              <c:yMode val="edge"/>
              <c:x val="6.9537998220016328E-2"/>
              <c:y val="0.3619656788561140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990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Order</a:t>
            </a:r>
            <a:r>
              <a:rPr lang="en-US" baseline="0"/>
              <a:t> Activity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Data!$B$23</c:f>
              <c:strCache>
                <c:ptCount val="1"/>
                <c:pt idx="0">
                  <c:v>total_orders</c:v>
                </c:pt>
              </c:strCache>
            </c:strRef>
          </c:tx>
          <c:dPt>
            <c:idx val="0"/>
            <c:bubble3D val="0"/>
            <c:spPr>
              <a:solidFill>
                <a:srgbClr val="00B050"/>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FECE-402B-8D07-B7CF3BEE7E8A}"/>
              </c:ext>
            </c:extLst>
          </c:dPt>
          <c:dPt>
            <c:idx val="1"/>
            <c:bubble3D val="0"/>
            <c:spPr>
              <a:solidFill>
                <a:srgbClr val="C00000"/>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FECE-402B-8D07-B7CF3BEE7E8A}"/>
              </c:ext>
            </c:extLst>
          </c:dPt>
          <c:dPt>
            <c:idx val="2"/>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FECE-402B-8D07-B7CF3BEE7E8A}"/>
              </c:ext>
            </c:extLst>
          </c:dPt>
          <c:dLbls>
            <c:dLbl>
              <c:idx val="2"/>
              <c:layout>
                <c:manualLayout>
                  <c:x val="9.5704179230358122E-2"/>
                  <c:y val="-2.9607200941338709E-2"/>
                </c:manualLayout>
              </c:layout>
              <c:dLblPos val="bestFit"/>
              <c:showLegendKey val="0"/>
              <c:showVal val="1"/>
              <c:showCatName val="0"/>
              <c:showSerName val="1"/>
              <c:showPercent val="1"/>
              <c:showBubbleSize val="0"/>
              <c:extLst>
                <c:ext xmlns:c15="http://schemas.microsoft.com/office/drawing/2012/chart" uri="{CE6537A1-D6FC-4f65-9D91-7224C49458BB}"/>
                <c:ext xmlns:c16="http://schemas.microsoft.com/office/drawing/2014/chart" uri="{C3380CC4-5D6E-409C-BE32-E72D297353CC}">
                  <c16:uniqueId val="{00000003-FECE-402B-8D07-B7CF3BEE7E8A}"/>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1"/>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Data!$A$24:$A$26</c:f>
              <c:strCache>
                <c:ptCount val="3"/>
                <c:pt idx="0">
                  <c:v>pre-crisis</c:v>
                </c:pt>
                <c:pt idx="1">
                  <c:v>crisis</c:v>
                </c:pt>
                <c:pt idx="2">
                  <c:v>post-crisis</c:v>
                </c:pt>
              </c:strCache>
            </c:strRef>
          </c:cat>
          <c:val>
            <c:numRef>
              <c:f>Data!$B$24:$B$26</c:f>
              <c:numCache>
                <c:formatCode>General</c:formatCode>
                <c:ptCount val="3"/>
                <c:pt idx="0">
                  <c:v>108760</c:v>
                </c:pt>
                <c:pt idx="1">
                  <c:v>8247</c:v>
                </c:pt>
                <c:pt idx="2">
                  <c:v>24035</c:v>
                </c:pt>
              </c:numCache>
            </c:numRef>
          </c:val>
          <c:extLst>
            <c:ext xmlns:c16="http://schemas.microsoft.com/office/drawing/2014/chart" uri="{C3380CC4-5D6E-409C-BE32-E72D297353CC}">
              <c16:uniqueId val="{00000000-FECE-402B-8D07-B7CF3BEE7E8A}"/>
            </c:ext>
          </c:extLst>
        </c:ser>
        <c:dLbls>
          <c:dLblPos val="ctr"/>
          <c:showLegendKey val="0"/>
          <c:showVal val="1"/>
          <c:showCatName val="0"/>
          <c:showSerName val="0"/>
          <c:showPercent val="0"/>
          <c:showBubbleSize val="0"/>
          <c:showLeaderLines val="1"/>
        </c:dLbls>
      </c:pie3DChart>
      <c:spPr>
        <a:noFill/>
        <a:ln>
          <a:noFill/>
        </a:ln>
        <a:effectLst/>
      </c:spPr>
    </c:plotArea>
    <c:legend>
      <c:legendPos val="r"/>
      <c:legendEntry>
        <c:idx val="0"/>
        <c:txPr>
          <a:bodyPr rot="0" spcFirstLastPara="1" vertOverflow="ellipsis" vert="horz" wrap="square" anchor="ctr" anchorCtr="1"/>
          <a:lstStyle/>
          <a:p>
            <a:pPr>
              <a:defRPr sz="1100" b="0" i="0" u="none" strike="noStrike" kern="1200" baseline="0">
                <a:solidFill>
                  <a:schemeClr val="dk1">
                    <a:lumMod val="75000"/>
                    <a:lumOff val="2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100" b="0" i="0" u="none" strike="noStrike" kern="1200" baseline="0">
                <a:solidFill>
                  <a:schemeClr val="dk1">
                    <a:lumMod val="75000"/>
                    <a:lumOff val="25000"/>
                  </a:schemeClr>
                </a:solidFill>
                <a:latin typeface="+mn-lt"/>
                <a:ea typeface="+mn-ea"/>
                <a:cs typeface="+mn-cs"/>
              </a:defRPr>
            </a:pPr>
            <a:endParaRPr lang="en-US"/>
          </a:p>
        </c:txPr>
      </c:legendEntry>
      <c:legendEntry>
        <c:idx val="2"/>
        <c:txPr>
          <a:bodyPr rot="0" spcFirstLastPara="1" vertOverflow="ellipsis" vert="horz" wrap="square" anchor="ctr" anchorCtr="1"/>
          <a:lstStyle/>
          <a:p>
            <a:pPr>
              <a:defRPr sz="1100" b="0" i="0" u="none" strike="noStrike" kern="1200" baseline="0">
                <a:solidFill>
                  <a:schemeClr val="dk1">
                    <a:lumMod val="75000"/>
                    <a:lumOff val="25000"/>
                  </a:schemeClr>
                </a:solidFill>
                <a:latin typeface="+mn-lt"/>
                <a:ea typeface="+mn-ea"/>
                <a:cs typeface="+mn-cs"/>
              </a:defRPr>
            </a:pPr>
            <a:endParaRPr lang="en-US"/>
          </a:p>
        </c:txPr>
      </c:legendEntry>
      <c:layout>
        <c:manualLayout>
          <c:xMode val="edge"/>
          <c:yMode val="edge"/>
          <c:x val="0.73953674540682413"/>
          <c:y val="0.36655001458151071"/>
          <c:w val="0.24379658792650918"/>
          <c:h val="0.4427099737532808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Per</a:t>
            </a:r>
            <a:r>
              <a:rPr lang="en-US" baseline="0"/>
              <a:t> Phase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Data!$E$8</c:f>
              <c:strCache>
                <c:ptCount val="1"/>
                <c:pt idx="0">
                  <c:v>total_revenue</c:v>
                </c:pt>
              </c:strCache>
            </c:strRef>
          </c:tx>
          <c:spPr>
            <a:solidFill>
              <a:srgbClr val="00B050"/>
            </a:solidFill>
            <a:ln>
              <a:noFill/>
            </a:ln>
            <a:effectLst/>
            <a:sp3d/>
          </c:spPr>
          <c:invertIfNegative val="0"/>
          <c:dPt>
            <c:idx val="1"/>
            <c:invertIfNegative val="0"/>
            <c:bubble3D val="0"/>
            <c:spPr>
              <a:solidFill>
                <a:srgbClr val="C00000"/>
              </a:solidFill>
              <a:ln>
                <a:noFill/>
              </a:ln>
              <a:effectLst/>
              <a:sp3d/>
            </c:spPr>
            <c:extLst>
              <c:ext xmlns:c16="http://schemas.microsoft.com/office/drawing/2014/chart" uri="{C3380CC4-5D6E-409C-BE32-E72D297353CC}">
                <c16:uniqueId val="{00000001-CD3F-4409-96B9-3840B6BC545A}"/>
              </c:ext>
            </c:extLst>
          </c:dPt>
          <c:dPt>
            <c:idx val="2"/>
            <c:invertIfNegative val="0"/>
            <c:bubble3D val="0"/>
            <c:spPr>
              <a:solidFill>
                <a:schemeClr val="accent1"/>
              </a:solidFill>
              <a:ln>
                <a:noFill/>
              </a:ln>
              <a:effectLst/>
              <a:sp3d/>
            </c:spPr>
            <c:extLst>
              <c:ext xmlns:c16="http://schemas.microsoft.com/office/drawing/2014/chart" uri="{C3380CC4-5D6E-409C-BE32-E72D297353CC}">
                <c16:uniqueId val="{00000002-CD3F-4409-96B9-3840B6BC545A}"/>
              </c:ext>
            </c:extLst>
          </c:dPt>
          <c:dLbls>
            <c:dLbl>
              <c:idx val="0"/>
              <c:tx>
                <c:rich>
                  <a:bodyPr/>
                  <a:lstStyle/>
                  <a:p>
                    <a:fld id="{15481000-77D9-485B-8A3B-A25F66CFFDC9}" type="CELLRANGE">
                      <a:rPr lang="en-US" sz="1050"/>
                      <a:pPr/>
                      <a:t>[CELLRANGE]</a:t>
                    </a:fld>
                    <a:r>
                      <a:rPr lang="en-US" baseline="0"/>
                      <a:t>, </a:t>
                    </a:r>
                    <a:fld id="{D8B771CD-815B-4269-B57E-BD34B9DF1FE3}"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CD3F-4409-96B9-3840B6BC545A}"/>
                </c:ext>
              </c:extLst>
            </c:dLbl>
            <c:dLbl>
              <c:idx val="1"/>
              <c:layout>
                <c:manualLayout>
                  <c:x val="2.7759083504350416E-2"/>
                  <c:y val="-2.6821985439393049E-2"/>
                </c:manualLayout>
              </c:layout>
              <c:tx>
                <c:rich>
                  <a:bodyPr/>
                  <a:lstStyle/>
                  <a:p>
                    <a:fld id="{E0126E19-EDBA-43C3-8C42-03ED856984FC}" type="CELLRANGE">
                      <a:rPr lang="en-US" sz="1050"/>
                      <a:pPr/>
                      <a:t>[CELLRANGE]</a:t>
                    </a:fld>
                    <a:r>
                      <a:rPr lang="en-US" baseline="0"/>
                      <a:t>, </a:t>
                    </a:r>
                    <a:fld id="{61A70373-C8F3-4260-A896-C91BE5EC31F5}"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CD3F-4409-96B9-3840B6BC545A}"/>
                </c:ext>
              </c:extLst>
            </c:dLbl>
            <c:dLbl>
              <c:idx val="2"/>
              <c:tx>
                <c:rich>
                  <a:bodyPr/>
                  <a:lstStyle/>
                  <a:p>
                    <a:fld id="{29152A6B-62F1-4FC2-9CB6-D06CFEFA6415}" type="CELLRANGE">
                      <a:rPr lang="en-US" sz="1050" baseline="0"/>
                      <a:pPr/>
                      <a:t>[CELLRANGE]</a:t>
                    </a:fld>
                    <a:r>
                      <a:rPr lang="en-US" sz="1050" baseline="0"/>
                      <a:t>, </a:t>
                    </a:r>
                    <a:fld id="{1052949B-6F82-41EF-8797-311F12D8282D}" type="VALUE">
                      <a:rPr lang="en-US" sz="1050" baseline="0"/>
                      <a:pPr/>
                      <a:t>[VALUE]</a:t>
                    </a:fld>
                    <a:endParaRPr lang="en-US" sz="1050" baseline="0"/>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CD3F-4409-96B9-3840B6BC545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Data!$D$9:$D$11</c:f>
              <c:strCache>
                <c:ptCount val="3"/>
                <c:pt idx="0">
                  <c:v>pre-crisis</c:v>
                </c:pt>
                <c:pt idx="1">
                  <c:v>crisis</c:v>
                </c:pt>
                <c:pt idx="2">
                  <c:v>post-crisis</c:v>
                </c:pt>
              </c:strCache>
            </c:strRef>
          </c:cat>
          <c:val>
            <c:numRef>
              <c:f>Data!$E$9:$E$11</c:f>
              <c:numCache>
                <c:formatCode>General</c:formatCode>
                <c:ptCount val="3"/>
                <c:pt idx="0">
                  <c:v>37620964.25</c:v>
                </c:pt>
                <c:pt idx="1">
                  <c:v>2802064.52</c:v>
                </c:pt>
                <c:pt idx="2">
                  <c:v>8138086.79</c:v>
                </c:pt>
              </c:numCache>
            </c:numRef>
          </c:val>
          <c:extLst>
            <c:ext xmlns:c15="http://schemas.microsoft.com/office/drawing/2012/chart" uri="{02D57815-91ED-43cb-92C2-25804820EDAC}">
              <c15:datalabelsRange>
                <c15:f>Data!$F$9:$F$11</c15:f>
                <c15:dlblRangeCache>
                  <c:ptCount val="3"/>
                  <c:pt idx="0">
                    <c:v>37.6M</c:v>
                  </c:pt>
                  <c:pt idx="1">
                    <c:v>2.8M</c:v>
                  </c:pt>
                  <c:pt idx="2">
                    <c:v>8.1M</c:v>
                  </c:pt>
                </c15:dlblRangeCache>
              </c15:datalabelsRange>
            </c:ext>
            <c:ext xmlns:c16="http://schemas.microsoft.com/office/drawing/2014/chart" uri="{C3380CC4-5D6E-409C-BE32-E72D297353CC}">
              <c16:uniqueId val="{00000000-CD3F-4409-96B9-3840B6BC545A}"/>
            </c:ext>
          </c:extLst>
        </c:ser>
        <c:dLbls>
          <c:showLegendKey val="0"/>
          <c:showVal val="1"/>
          <c:showCatName val="0"/>
          <c:showSerName val="0"/>
          <c:showPercent val="0"/>
          <c:showBubbleSize val="0"/>
        </c:dLbls>
        <c:gapWidth val="150"/>
        <c:shape val="box"/>
        <c:axId val="1599143968"/>
        <c:axId val="1599139168"/>
        <c:axId val="0"/>
      </c:bar3DChart>
      <c:catAx>
        <c:axId val="1599143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latin typeface="Arial Black" panose="020B0A04020102020204" pitchFamily="34" charset="0"/>
                  </a:rPr>
                  <a:t>Phase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139168"/>
        <c:crosses val="autoZero"/>
        <c:auto val="1"/>
        <c:lblAlgn val="ctr"/>
        <c:lblOffset val="100"/>
        <c:noMultiLvlLbl val="0"/>
      </c:catAx>
      <c:valAx>
        <c:axId val="15991391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latin typeface="Arial Black" panose="020B0A04020102020204" pitchFamily="34" charset="0"/>
                  </a:rPr>
                  <a:t>total_revenue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143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Mode</a:t>
            </a:r>
            <a:r>
              <a:rPr lang="en-IN" baseline="0"/>
              <a:t> Of Payment across Phases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Data!$E$15</c:f>
              <c:strCache>
                <c:ptCount val="1"/>
                <c:pt idx="0">
                  <c:v>COD</c:v>
                </c:pt>
              </c:strCache>
            </c:strRef>
          </c:tx>
          <c:spPr>
            <a:solidFill>
              <a:srgbClr val="FF00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Data!$D$16:$D$18</c:f>
              <c:strCache>
                <c:ptCount val="3"/>
                <c:pt idx="0">
                  <c:v>pre-crisis</c:v>
                </c:pt>
                <c:pt idx="1">
                  <c:v>crisis</c:v>
                </c:pt>
                <c:pt idx="2">
                  <c:v>post-crisis</c:v>
                </c:pt>
              </c:strCache>
            </c:strRef>
          </c:cat>
          <c:val>
            <c:numRef>
              <c:f>Data!$E$16:$E$18</c:f>
              <c:numCache>
                <c:formatCode>General</c:formatCode>
                <c:ptCount val="3"/>
                <c:pt idx="0">
                  <c:v>32865</c:v>
                </c:pt>
                <c:pt idx="1">
                  <c:v>2931</c:v>
                </c:pt>
                <c:pt idx="2">
                  <c:v>8395</c:v>
                </c:pt>
              </c:numCache>
            </c:numRef>
          </c:val>
          <c:extLst>
            <c:ext xmlns:c16="http://schemas.microsoft.com/office/drawing/2014/chart" uri="{C3380CC4-5D6E-409C-BE32-E72D297353CC}">
              <c16:uniqueId val="{00000000-1356-40F3-ACF7-CC7F6989DBA6}"/>
            </c:ext>
          </c:extLst>
        </c:ser>
        <c:ser>
          <c:idx val="1"/>
          <c:order val="1"/>
          <c:tx>
            <c:strRef>
              <c:f>Data!$F$15</c:f>
              <c:strCache>
                <c:ptCount val="1"/>
                <c:pt idx="0">
                  <c:v>Online_Payment</c:v>
                </c:pt>
              </c:strCache>
            </c:strRef>
          </c:tx>
          <c:spPr>
            <a:solidFill>
              <a:srgbClr val="26A69A"/>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Data!$D$16:$D$18</c:f>
              <c:strCache>
                <c:ptCount val="3"/>
                <c:pt idx="0">
                  <c:v>pre-crisis</c:v>
                </c:pt>
                <c:pt idx="1">
                  <c:v>crisis</c:v>
                </c:pt>
                <c:pt idx="2">
                  <c:v>post-crisis</c:v>
                </c:pt>
              </c:strCache>
            </c:strRef>
          </c:cat>
          <c:val>
            <c:numRef>
              <c:f>Data!$F$16:$F$18</c:f>
              <c:numCache>
                <c:formatCode>General</c:formatCode>
                <c:ptCount val="3"/>
                <c:pt idx="0">
                  <c:v>75895</c:v>
                </c:pt>
                <c:pt idx="1">
                  <c:v>5316</c:v>
                </c:pt>
                <c:pt idx="2">
                  <c:v>15640</c:v>
                </c:pt>
              </c:numCache>
            </c:numRef>
          </c:val>
          <c:extLst>
            <c:ext xmlns:c16="http://schemas.microsoft.com/office/drawing/2014/chart" uri="{C3380CC4-5D6E-409C-BE32-E72D297353CC}">
              <c16:uniqueId val="{00000001-1356-40F3-ACF7-CC7F6989DBA6}"/>
            </c:ext>
          </c:extLst>
        </c:ser>
        <c:dLbls>
          <c:showLegendKey val="0"/>
          <c:showVal val="1"/>
          <c:showCatName val="0"/>
          <c:showSerName val="0"/>
          <c:showPercent val="0"/>
          <c:showBubbleSize val="0"/>
        </c:dLbls>
        <c:gapWidth val="150"/>
        <c:shape val="box"/>
        <c:axId val="1557951456"/>
        <c:axId val="1557953376"/>
        <c:axId val="0"/>
      </c:bar3DChart>
      <c:catAx>
        <c:axId val="15579514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latin typeface="Arial Black" panose="020B0A04020102020204" pitchFamily="34" charset="0"/>
                  </a:rPr>
                  <a:t>Phase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953376"/>
        <c:crosses val="autoZero"/>
        <c:auto val="1"/>
        <c:lblAlgn val="ctr"/>
        <c:lblOffset val="100"/>
        <c:noMultiLvlLbl val="0"/>
      </c:catAx>
      <c:valAx>
        <c:axId val="15579533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latin typeface="Arial Black" panose="020B0A04020102020204" pitchFamily="34" charset="0"/>
                  </a:rPr>
                  <a:t>no.of</a:t>
                </a:r>
                <a:r>
                  <a:rPr lang="en-IN" baseline="0">
                    <a:latin typeface="Arial Black" panose="020B0A04020102020204" pitchFamily="34" charset="0"/>
                  </a:rPr>
                  <a:t> orders</a:t>
                </a:r>
                <a:endParaRPr lang="en-IN">
                  <a:latin typeface="Arial Black" panose="020B0A04020102020204"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9514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a:t>
            </a:r>
            <a:r>
              <a:rPr lang="en-IN" baseline="0"/>
              <a:t> Cancellation Count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Data!$E$22</c:f>
              <c:strCache>
                <c:ptCount val="1"/>
                <c:pt idx="0">
                  <c:v>Cancelled</c:v>
                </c:pt>
              </c:strCache>
            </c:strRef>
          </c:tx>
          <c:spPr>
            <a:solidFill>
              <a:srgbClr val="C00000"/>
            </a:solidFill>
            <a:ln>
              <a:noFill/>
            </a:ln>
            <a:effectLst/>
            <a:sp3d/>
          </c:spPr>
          <c:invertIfNegative val="0"/>
          <c:cat>
            <c:strRef>
              <c:f>Data!$D$23:$D$25</c:f>
              <c:strCache>
                <c:ptCount val="3"/>
                <c:pt idx="0">
                  <c:v>pre-crisis</c:v>
                </c:pt>
                <c:pt idx="1">
                  <c:v>crisis</c:v>
                </c:pt>
                <c:pt idx="2">
                  <c:v>post-crisis</c:v>
                </c:pt>
              </c:strCache>
            </c:strRef>
          </c:cat>
          <c:val>
            <c:numRef>
              <c:f>Data!$E$23:$E$25</c:f>
              <c:numCache>
                <c:formatCode>General</c:formatCode>
                <c:ptCount val="3"/>
                <c:pt idx="0">
                  <c:v>1848</c:v>
                </c:pt>
                <c:pt idx="1">
                  <c:v>274</c:v>
                </c:pt>
                <c:pt idx="2">
                  <c:v>866</c:v>
                </c:pt>
              </c:numCache>
            </c:numRef>
          </c:val>
          <c:extLst>
            <c:ext xmlns:c16="http://schemas.microsoft.com/office/drawing/2014/chart" uri="{C3380CC4-5D6E-409C-BE32-E72D297353CC}">
              <c16:uniqueId val="{00000000-6CDF-4658-BF87-3EA3F34C90E1}"/>
            </c:ext>
          </c:extLst>
        </c:ser>
        <c:ser>
          <c:idx val="1"/>
          <c:order val="1"/>
          <c:tx>
            <c:strRef>
              <c:f>Data!$F$22</c:f>
              <c:strCache>
                <c:ptCount val="1"/>
                <c:pt idx="0">
                  <c:v>Not Cancelled</c:v>
                </c:pt>
              </c:strCache>
            </c:strRef>
          </c:tx>
          <c:spPr>
            <a:solidFill>
              <a:srgbClr val="00B050"/>
            </a:solidFill>
            <a:ln>
              <a:noFill/>
            </a:ln>
            <a:effectLst/>
            <a:sp3d/>
          </c:spPr>
          <c:invertIfNegative val="0"/>
          <c:cat>
            <c:strRef>
              <c:f>Data!$D$23:$D$25</c:f>
              <c:strCache>
                <c:ptCount val="3"/>
                <c:pt idx="0">
                  <c:v>pre-crisis</c:v>
                </c:pt>
                <c:pt idx="1">
                  <c:v>crisis</c:v>
                </c:pt>
                <c:pt idx="2">
                  <c:v>post-crisis</c:v>
                </c:pt>
              </c:strCache>
            </c:strRef>
          </c:cat>
          <c:val>
            <c:numRef>
              <c:f>Data!$F$23:$F$25</c:f>
              <c:numCache>
                <c:formatCode>General</c:formatCode>
                <c:ptCount val="3"/>
                <c:pt idx="0">
                  <c:v>106912</c:v>
                </c:pt>
                <c:pt idx="1">
                  <c:v>7973</c:v>
                </c:pt>
                <c:pt idx="2">
                  <c:v>23169</c:v>
                </c:pt>
              </c:numCache>
            </c:numRef>
          </c:val>
          <c:extLst>
            <c:ext xmlns:c16="http://schemas.microsoft.com/office/drawing/2014/chart" uri="{C3380CC4-5D6E-409C-BE32-E72D297353CC}">
              <c16:uniqueId val="{00000001-6CDF-4658-BF87-3EA3F34C90E1}"/>
            </c:ext>
          </c:extLst>
        </c:ser>
        <c:dLbls>
          <c:showLegendKey val="0"/>
          <c:showVal val="0"/>
          <c:showCatName val="0"/>
          <c:showSerName val="0"/>
          <c:showPercent val="0"/>
          <c:showBubbleSize val="0"/>
        </c:dLbls>
        <c:gapWidth val="150"/>
        <c:shape val="box"/>
        <c:axId val="1324481695"/>
        <c:axId val="1324489375"/>
        <c:axId val="0"/>
      </c:bar3DChart>
      <c:catAx>
        <c:axId val="13244816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latin typeface="Arial Black" panose="020B0A04020102020204" pitchFamily="34" charset="0"/>
                  </a:rPr>
                  <a:t>Phase</a:t>
                </a:r>
              </a:p>
            </c:rich>
          </c:tx>
          <c:layout>
            <c:manualLayout>
              <c:xMode val="edge"/>
              <c:yMode val="edge"/>
              <c:x val="0.4350675853018372"/>
              <c:y val="0.8915208515602216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489375"/>
        <c:crosses val="autoZero"/>
        <c:auto val="1"/>
        <c:lblAlgn val="ctr"/>
        <c:lblOffset val="100"/>
        <c:noMultiLvlLbl val="0"/>
      </c:catAx>
      <c:valAx>
        <c:axId val="13244893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latin typeface="Arial Black" panose="020B0A04020102020204" pitchFamily="34" charset="0"/>
                  </a:rPr>
                  <a:t>no.of</a:t>
                </a:r>
                <a:r>
                  <a:rPr lang="en-IN" baseline="0">
                    <a:latin typeface="Arial Black" panose="020B0A04020102020204" pitchFamily="34" charset="0"/>
                  </a:rPr>
                  <a:t> orders</a:t>
                </a:r>
                <a:endParaRPr lang="en-IN">
                  <a:latin typeface="Arial Black" panose="020B0A04020102020204"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48169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a:t>
            </a:r>
            <a:r>
              <a:rPr lang="en-US"/>
              <a:t>Cancellation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"CancellationRate</c:v>
          </c:tx>
          <c:spPr>
            <a:solidFill>
              <a:schemeClr val="accent1"/>
            </a:solidFill>
            <a:ln>
              <a:noFill/>
            </a:ln>
            <a:effectLst/>
            <a:sp3d/>
          </c:spPr>
          <c:invertIfNegative val="0"/>
          <c:dPt>
            <c:idx val="0"/>
            <c:invertIfNegative val="0"/>
            <c:bubble3D val="0"/>
            <c:spPr>
              <a:solidFill>
                <a:srgbClr val="00B050"/>
              </a:solidFill>
              <a:ln>
                <a:noFill/>
              </a:ln>
              <a:effectLst/>
              <a:sp3d/>
            </c:spPr>
            <c:extLst>
              <c:ext xmlns:c16="http://schemas.microsoft.com/office/drawing/2014/chart" uri="{C3380CC4-5D6E-409C-BE32-E72D297353CC}">
                <c16:uniqueId val="{00000004-E13B-4D32-A7F9-1B2B4DBBEB78}"/>
              </c:ext>
            </c:extLst>
          </c:dPt>
          <c:dPt>
            <c:idx val="1"/>
            <c:invertIfNegative val="0"/>
            <c:bubble3D val="0"/>
            <c:spPr>
              <a:solidFill>
                <a:srgbClr val="C00000"/>
              </a:solidFill>
              <a:ln>
                <a:noFill/>
              </a:ln>
              <a:effectLst/>
              <a:sp3d/>
            </c:spPr>
            <c:extLst>
              <c:ext xmlns:c16="http://schemas.microsoft.com/office/drawing/2014/chart" uri="{C3380CC4-5D6E-409C-BE32-E72D297353CC}">
                <c16:uniqueId val="{00000005-E13B-4D32-A7F9-1B2B4DBBEB78}"/>
              </c:ext>
            </c:extLst>
          </c:dPt>
          <c:dLbls>
            <c:dLbl>
              <c:idx val="0"/>
              <c:layout>
                <c:manualLayout>
                  <c:x val="0"/>
                  <c:y val="-2.9450260696092856E-2"/>
                </c:manualLayout>
              </c:layout>
              <c:tx>
                <c:rich>
                  <a:bodyPr/>
                  <a:lstStyle/>
                  <a:p>
                    <a:fld id="{08961892-6620-4F42-8B19-4C0BC108F451}" type="VALUE">
                      <a:rPr lang="en-US" sz="1050"/>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E13B-4D32-A7F9-1B2B4DBBEB78}"/>
                </c:ext>
              </c:extLst>
            </c:dLbl>
            <c:dLbl>
              <c:idx val="1"/>
              <c:layout>
                <c:manualLayout>
                  <c:x val="8.3333333333333332E-3"/>
                  <c:y val="-3.7037037037037077E-2"/>
                </c:manualLayout>
              </c:layout>
              <c:tx>
                <c:rich>
                  <a:bodyPr/>
                  <a:lstStyle/>
                  <a:p>
                    <a:fld id="{5F8401EE-89D5-491A-9BB8-D4ED495E0BD9}" type="VALUE">
                      <a:rPr lang="en-US" sz="1050"/>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E13B-4D32-A7F9-1B2B4DBBEB78}"/>
                </c:ext>
              </c:extLst>
            </c:dLbl>
            <c:dLbl>
              <c:idx val="2"/>
              <c:layout>
                <c:manualLayout>
                  <c:x val="1.1111111111111009E-2"/>
                  <c:y val="-4.6296296296296273E-2"/>
                </c:manualLayout>
              </c:layout>
              <c:tx>
                <c:rich>
                  <a:bodyPr/>
                  <a:lstStyle/>
                  <a:p>
                    <a:fld id="{D0E81ED2-F89B-4621-8C19-4B40B275F546}" type="VALUE">
                      <a:rPr lang="en-US" sz="1050"/>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E13B-4D32-A7F9-1B2B4DBBEB7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Data!$D$23:$D$25</c:f>
              <c:strCache>
                <c:ptCount val="3"/>
                <c:pt idx="0">
                  <c:v>pre-crisis</c:v>
                </c:pt>
                <c:pt idx="1">
                  <c:v>crisis</c:v>
                </c:pt>
                <c:pt idx="2">
                  <c:v>post-crisis</c:v>
                </c:pt>
              </c:strCache>
            </c:strRef>
          </c:cat>
          <c:val>
            <c:numRef>
              <c:f>Data!$H$23:$H$25</c:f>
              <c:numCache>
                <c:formatCode>0.00%</c:formatCode>
                <c:ptCount val="3"/>
                <c:pt idx="0">
                  <c:v>1.6991541007723428E-2</c:v>
                </c:pt>
                <c:pt idx="1">
                  <c:v>3.3224202740390445E-2</c:v>
                </c:pt>
                <c:pt idx="2">
                  <c:v>3.6030788433534432E-2</c:v>
                </c:pt>
              </c:numCache>
            </c:numRef>
          </c:val>
          <c:extLst>
            <c:ext xmlns:c16="http://schemas.microsoft.com/office/drawing/2014/chart" uri="{C3380CC4-5D6E-409C-BE32-E72D297353CC}">
              <c16:uniqueId val="{00000003-E13B-4D32-A7F9-1B2B4DBBEB78}"/>
            </c:ext>
          </c:extLst>
        </c:ser>
        <c:dLbls>
          <c:showLegendKey val="0"/>
          <c:showVal val="0"/>
          <c:showCatName val="0"/>
          <c:showSerName val="0"/>
          <c:showPercent val="0"/>
          <c:showBubbleSize val="0"/>
        </c:dLbls>
        <c:gapWidth val="150"/>
        <c:shape val="box"/>
        <c:axId val="1324479295"/>
        <c:axId val="1324470655"/>
        <c:axId val="0"/>
      </c:bar3DChart>
      <c:catAx>
        <c:axId val="13244792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latin typeface="Arial Black" panose="020B0A04020102020204" pitchFamily="34" charset="0"/>
                  </a:rPr>
                  <a:t>Phase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470655"/>
        <c:crosses val="autoZero"/>
        <c:auto val="1"/>
        <c:lblAlgn val="ctr"/>
        <c:lblOffset val="100"/>
        <c:noMultiLvlLbl val="0"/>
      </c:catAx>
      <c:valAx>
        <c:axId val="13244706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latin typeface="Arial Black" panose="020B0A04020102020204" pitchFamily="34" charset="0"/>
                  </a:rPr>
                  <a:t>Cancellation</a:t>
                </a:r>
                <a:r>
                  <a:rPr lang="en-IN" baseline="0">
                    <a:latin typeface="Arial Black" panose="020B0A04020102020204" pitchFamily="34" charset="0"/>
                  </a:rPr>
                  <a:t> Rate</a:t>
                </a:r>
                <a:endParaRPr lang="en-IN">
                  <a:latin typeface="Arial Black" panose="020B0A04020102020204" pitchFamily="34" charset="0"/>
                </a:endParaRPr>
              </a:p>
            </c:rich>
          </c:tx>
          <c:layout>
            <c:manualLayout>
              <c:xMode val="edge"/>
              <c:yMode val="edge"/>
              <c:x val="4.762685914260717E-2"/>
              <c:y val="0.2828758384368620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4792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Cuisine</a:t>
            </a:r>
            <a:r>
              <a:rPr lang="en-IN" baseline="0"/>
              <a:t> Trend across phases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Data!$L$8</c:f>
              <c:strCache>
                <c:ptCount val="1"/>
                <c:pt idx="0">
                  <c:v>pre-crisis</c:v>
                </c:pt>
              </c:strCache>
            </c:strRef>
          </c:tx>
          <c:spPr>
            <a:solidFill>
              <a:srgbClr val="00B050"/>
            </a:solidFill>
            <a:ln>
              <a:noFill/>
            </a:ln>
            <a:effectLst/>
          </c:spPr>
          <c:invertIfNegative val="0"/>
          <c:cat>
            <c:strRef>
              <c:f>Data!$K$9:$K$16</c:f>
              <c:strCache>
                <c:ptCount val="8"/>
                <c:pt idx="0">
                  <c:v>Biryani</c:v>
                </c:pt>
                <c:pt idx="1">
                  <c:v>Chinese</c:v>
                </c:pt>
                <c:pt idx="2">
                  <c:v>Desserts</c:v>
                </c:pt>
                <c:pt idx="3">
                  <c:v>Fast Food</c:v>
                </c:pt>
                <c:pt idx="4">
                  <c:v>Healthy</c:v>
                </c:pt>
                <c:pt idx="5">
                  <c:v>North Indian</c:v>
                </c:pt>
                <c:pt idx="6">
                  <c:v>Pizza</c:v>
                </c:pt>
                <c:pt idx="7">
                  <c:v>South Indian</c:v>
                </c:pt>
              </c:strCache>
            </c:strRef>
          </c:cat>
          <c:val>
            <c:numRef>
              <c:f>Data!$L$9:$L$16</c:f>
              <c:numCache>
                <c:formatCode>General</c:formatCode>
                <c:ptCount val="8"/>
                <c:pt idx="0">
                  <c:v>16411</c:v>
                </c:pt>
                <c:pt idx="1">
                  <c:v>16025</c:v>
                </c:pt>
                <c:pt idx="2">
                  <c:v>8911</c:v>
                </c:pt>
                <c:pt idx="3">
                  <c:v>10608</c:v>
                </c:pt>
                <c:pt idx="4">
                  <c:v>5518</c:v>
                </c:pt>
                <c:pt idx="5">
                  <c:v>21448</c:v>
                </c:pt>
                <c:pt idx="6">
                  <c:v>13449</c:v>
                </c:pt>
                <c:pt idx="7">
                  <c:v>16390</c:v>
                </c:pt>
              </c:numCache>
            </c:numRef>
          </c:val>
          <c:extLst>
            <c:ext xmlns:c16="http://schemas.microsoft.com/office/drawing/2014/chart" uri="{C3380CC4-5D6E-409C-BE32-E72D297353CC}">
              <c16:uniqueId val="{00000000-8BFB-4DC7-83D9-865596CEDCF2}"/>
            </c:ext>
          </c:extLst>
        </c:ser>
        <c:ser>
          <c:idx val="1"/>
          <c:order val="1"/>
          <c:tx>
            <c:strRef>
              <c:f>Data!$M$8</c:f>
              <c:strCache>
                <c:ptCount val="1"/>
                <c:pt idx="0">
                  <c:v>crisis</c:v>
                </c:pt>
              </c:strCache>
            </c:strRef>
          </c:tx>
          <c:spPr>
            <a:solidFill>
              <a:srgbClr val="C00000"/>
            </a:solidFill>
            <a:ln>
              <a:noFill/>
            </a:ln>
            <a:effectLst/>
          </c:spPr>
          <c:invertIfNegative val="0"/>
          <c:cat>
            <c:strRef>
              <c:f>Data!$K$9:$K$16</c:f>
              <c:strCache>
                <c:ptCount val="8"/>
                <c:pt idx="0">
                  <c:v>Biryani</c:v>
                </c:pt>
                <c:pt idx="1">
                  <c:v>Chinese</c:v>
                </c:pt>
                <c:pt idx="2">
                  <c:v>Desserts</c:v>
                </c:pt>
                <c:pt idx="3">
                  <c:v>Fast Food</c:v>
                </c:pt>
                <c:pt idx="4">
                  <c:v>Healthy</c:v>
                </c:pt>
                <c:pt idx="5">
                  <c:v>North Indian</c:v>
                </c:pt>
                <c:pt idx="6">
                  <c:v>Pizza</c:v>
                </c:pt>
                <c:pt idx="7">
                  <c:v>South Indian</c:v>
                </c:pt>
              </c:strCache>
            </c:strRef>
          </c:cat>
          <c:val>
            <c:numRef>
              <c:f>Data!$M$9:$M$16</c:f>
              <c:numCache>
                <c:formatCode>General</c:formatCode>
                <c:ptCount val="8"/>
                <c:pt idx="0">
                  <c:v>1186</c:v>
                </c:pt>
                <c:pt idx="1">
                  <c:v>1261</c:v>
                </c:pt>
                <c:pt idx="2">
                  <c:v>654</c:v>
                </c:pt>
                <c:pt idx="3">
                  <c:v>810</c:v>
                </c:pt>
                <c:pt idx="4">
                  <c:v>378</c:v>
                </c:pt>
                <c:pt idx="5">
                  <c:v>1624</c:v>
                </c:pt>
                <c:pt idx="6">
                  <c:v>1072</c:v>
                </c:pt>
                <c:pt idx="7">
                  <c:v>1262</c:v>
                </c:pt>
              </c:numCache>
            </c:numRef>
          </c:val>
          <c:extLst>
            <c:ext xmlns:c16="http://schemas.microsoft.com/office/drawing/2014/chart" uri="{C3380CC4-5D6E-409C-BE32-E72D297353CC}">
              <c16:uniqueId val="{00000001-8BFB-4DC7-83D9-865596CEDCF2}"/>
            </c:ext>
          </c:extLst>
        </c:ser>
        <c:ser>
          <c:idx val="2"/>
          <c:order val="2"/>
          <c:tx>
            <c:strRef>
              <c:f>Data!$N$8</c:f>
              <c:strCache>
                <c:ptCount val="1"/>
                <c:pt idx="0">
                  <c:v>post-crisis</c:v>
                </c:pt>
              </c:strCache>
            </c:strRef>
          </c:tx>
          <c:spPr>
            <a:solidFill>
              <a:schemeClr val="accent1"/>
            </a:solidFill>
            <a:ln>
              <a:noFill/>
            </a:ln>
            <a:effectLst/>
          </c:spPr>
          <c:invertIfNegative val="0"/>
          <c:cat>
            <c:strRef>
              <c:f>Data!$K$9:$K$16</c:f>
              <c:strCache>
                <c:ptCount val="8"/>
                <c:pt idx="0">
                  <c:v>Biryani</c:v>
                </c:pt>
                <c:pt idx="1">
                  <c:v>Chinese</c:v>
                </c:pt>
                <c:pt idx="2">
                  <c:v>Desserts</c:v>
                </c:pt>
                <c:pt idx="3">
                  <c:v>Fast Food</c:v>
                </c:pt>
                <c:pt idx="4">
                  <c:v>Healthy</c:v>
                </c:pt>
                <c:pt idx="5">
                  <c:v>North Indian</c:v>
                </c:pt>
                <c:pt idx="6">
                  <c:v>Pizza</c:v>
                </c:pt>
                <c:pt idx="7">
                  <c:v>South Indian</c:v>
                </c:pt>
              </c:strCache>
            </c:strRef>
          </c:cat>
          <c:val>
            <c:numRef>
              <c:f>Data!$N$9:$N$16</c:f>
              <c:numCache>
                <c:formatCode>General</c:formatCode>
                <c:ptCount val="8"/>
                <c:pt idx="0">
                  <c:v>3731</c:v>
                </c:pt>
                <c:pt idx="1">
                  <c:v>3574</c:v>
                </c:pt>
                <c:pt idx="2">
                  <c:v>1870</c:v>
                </c:pt>
                <c:pt idx="3">
                  <c:v>2364</c:v>
                </c:pt>
                <c:pt idx="4">
                  <c:v>1256</c:v>
                </c:pt>
                <c:pt idx="5">
                  <c:v>4754</c:v>
                </c:pt>
                <c:pt idx="6">
                  <c:v>2905</c:v>
                </c:pt>
                <c:pt idx="7">
                  <c:v>3581</c:v>
                </c:pt>
              </c:numCache>
            </c:numRef>
          </c:val>
          <c:extLst>
            <c:ext xmlns:c16="http://schemas.microsoft.com/office/drawing/2014/chart" uri="{C3380CC4-5D6E-409C-BE32-E72D297353CC}">
              <c16:uniqueId val="{00000002-8BFB-4DC7-83D9-865596CEDCF2}"/>
            </c:ext>
          </c:extLst>
        </c:ser>
        <c:dLbls>
          <c:showLegendKey val="0"/>
          <c:showVal val="0"/>
          <c:showCatName val="0"/>
          <c:showSerName val="0"/>
          <c:showPercent val="0"/>
          <c:showBubbleSize val="0"/>
        </c:dLbls>
        <c:gapWidth val="219"/>
        <c:overlap val="-27"/>
        <c:axId val="365789311"/>
        <c:axId val="365791231"/>
      </c:barChart>
      <c:catAx>
        <c:axId val="3657893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latin typeface="Arial Black" panose="020B0A04020102020204" pitchFamily="34" charset="0"/>
                  </a:rPr>
                  <a:t>Cuisine</a:t>
                </a:r>
                <a:r>
                  <a:rPr lang="en-IN" baseline="0"/>
                  <a:t> </a:t>
                </a:r>
                <a:r>
                  <a:rPr lang="en-IN" b="0" baseline="0">
                    <a:latin typeface="Arial Black" panose="020B0A04020102020204" pitchFamily="34" charset="0"/>
                  </a:rPr>
                  <a:t>Type</a:t>
                </a:r>
                <a:endParaRPr lang="en-IN" b="0">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791231"/>
        <c:crosses val="autoZero"/>
        <c:auto val="1"/>
        <c:lblAlgn val="ctr"/>
        <c:lblOffset val="100"/>
        <c:noMultiLvlLbl val="0"/>
      </c:catAx>
      <c:valAx>
        <c:axId val="3657912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latin typeface="Arial Black" panose="020B0A04020102020204" pitchFamily="34" charset="0"/>
                  </a:rPr>
                  <a:t>Order</a:t>
                </a:r>
                <a:r>
                  <a:rPr lang="en-IN" baseline="0">
                    <a:latin typeface="Arial Black" panose="020B0A04020102020204" pitchFamily="34" charset="0"/>
                  </a:rPr>
                  <a:t> Count</a:t>
                </a:r>
                <a:endParaRPr lang="en-IN">
                  <a:latin typeface="Arial Black" panose="020B0A04020102020204"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78931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City</a:t>
            </a:r>
            <a:r>
              <a:rPr lang="en-IN" baseline="0"/>
              <a:t> Level order Trends across Phases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Data!$L$20</c:f>
              <c:strCache>
                <c:ptCount val="1"/>
                <c:pt idx="0">
                  <c:v>pre-crisis</c:v>
                </c:pt>
              </c:strCache>
            </c:strRef>
          </c:tx>
          <c:spPr>
            <a:solidFill>
              <a:srgbClr val="00B050"/>
            </a:solidFill>
            <a:ln>
              <a:noFill/>
            </a:ln>
            <a:effectLst/>
          </c:spPr>
          <c:invertIfNegative val="0"/>
          <c:cat>
            <c:strRef>
              <c:f>Data!$K$21:$K$28</c:f>
              <c:strCache>
                <c:ptCount val="8"/>
                <c:pt idx="0">
                  <c:v>Ahmedabad</c:v>
                </c:pt>
                <c:pt idx="1">
                  <c:v>Bengaluru</c:v>
                </c:pt>
                <c:pt idx="2">
                  <c:v>Chennai</c:v>
                </c:pt>
                <c:pt idx="3">
                  <c:v>Delhi</c:v>
                </c:pt>
                <c:pt idx="4">
                  <c:v>Hyderabad</c:v>
                </c:pt>
                <c:pt idx="5">
                  <c:v>Kolkata</c:v>
                </c:pt>
                <c:pt idx="6">
                  <c:v>Mumbai</c:v>
                </c:pt>
                <c:pt idx="7">
                  <c:v>Pune</c:v>
                </c:pt>
              </c:strCache>
            </c:strRef>
          </c:cat>
          <c:val>
            <c:numRef>
              <c:f>Data!$L$21:$L$28</c:f>
              <c:numCache>
                <c:formatCode>General</c:formatCode>
                <c:ptCount val="8"/>
                <c:pt idx="0">
                  <c:v>8938</c:v>
                </c:pt>
                <c:pt idx="1">
                  <c:v>26958</c:v>
                </c:pt>
                <c:pt idx="2">
                  <c:v>11029</c:v>
                </c:pt>
                <c:pt idx="3">
                  <c:v>16083</c:v>
                </c:pt>
                <c:pt idx="4">
                  <c:v>11044</c:v>
                </c:pt>
                <c:pt idx="5">
                  <c:v>10012</c:v>
                </c:pt>
                <c:pt idx="6">
                  <c:v>16071</c:v>
                </c:pt>
                <c:pt idx="7">
                  <c:v>8625</c:v>
                </c:pt>
              </c:numCache>
            </c:numRef>
          </c:val>
          <c:extLst>
            <c:ext xmlns:c16="http://schemas.microsoft.com/office/drawing/2014/chart" uri="{C3380CC4-5D6E-409C-BE32-E72D297353CC}">
              <c16:uniqueId val="{00000000-C3AC-4596-8B39-5A062388182C}"/>
            </c:ext>
          </c:extLst>
        </c:ser>
        <c:ser>
          <c:idx val="1"/>
          <c:order val="1"/>
          <c:tx>
            <c:strRef>
              <c:f>Data!$M$20</c:f>
              <c:strCache>
                <c:ptCount val="1"/>
                <c:pt idx="0">
                  <c:v>crisis</c:v>
                </c:pt>
              </c:strCache>
            </c:strRef>
          </c:tx>
          <c:spPr>
            <a:solidFill>
              <a:srgbClr val="C00000"/>
            </a:solidFill>
            <a:ln>
              <a:noFill/>
            </a:ln>
            <a:effectLst/>
          </c:spPr>
          <c:invertIfNegative val="0"/>
          <c:cat>
            <c:strRef>
              <c:f>Data!$K$21:$K$28</c:f>
              <c:strCache>
                <c:ptCount val="8"/>
                <c:pt idx="0">
                  <c:v>Ahmedabad</c:v>
                </c:pt>
                <c:pt idx="1">
                  <c:v>Bengaluru</c:v>
                </c:pt>
                <c:pt idx="2">
                  <c:v>Chennai</c:v>
                </c:pt>
                <c:pt idx="3">
                  <c:v>Delhi</c:v>
                </c:pt>
                <c:pt idx="4">
                  <c:v>Hyderabad</c:v>
                </c:pt>
                <c:pt idx="5">
                  <c:v>Kolkata</c:v>
                </c:pt>
                <c:pt idx="6">
                  <c:v>Mumbai</c:v>
                </c:pt>
                <c:pt idx="7">
                  <c:v>Pune</c:v>
                </c:pt>
              </c:strCache>
            </c:strRef>
          </c:cat>
          <c:val>
            <c:numRef>
              <c:f>Data!$M$21:$M$28</c:f>
              <c:numCache>
                <c:formatCode>General</c:formatCode>
                <c:ptCount val="8"/>
                <c:pt idx="0">
                  <c:v>654</c:v>
                </c:pt>
                <c:pt idx="1">
                  <c:v>2005</c:v>
                </c:pt>
                <c:pt idx="2">
                  <c:v>778</c:v>
                </c:pt>
                <c:pt idx="3">
                  <c:v>1269</c:v>
                </c:pt>
                <c:pt idx="4">
                  <c:v>852</c:v>
                </c:pt>
                <c:pt idx="5">
                  <c:v>773</c:v>
                </c:pt>
                <c:pt idx="6">
                  <c:v>1234</c:v>
                </c:pt>
                <c:pt idx="7">
                  <c:v>682</c:v>
                </c:pt>
              </c:numCache>
            </c:numRef>
          </c:val>
          <c:extLst>
            <c:ext xmlns:c16="http://schemas.microsoft.com/office/drawing/2014/chart" uri="{C3380CC4-5D6E-409C-BE32-E72D297353CC}">
              <c16:uniqueId val="{00000001-C3AC-4596-8B39-5A062388182C}"/>
            </c:ext>
          </c:extLst>
        </c:ser>
        <c:ser>
          <c:idx val="2"/>
          <c:order val="2"/>
          <c:tx>
            <c:strRef>
              <c:f>Data!$N$20</c:f>
              <c:strCache>
                <c:ptCount val="1"/>
                <c:pt idx="0">
                  <c:v>post-ctrisis</c:v>
                </c:pt>
              </c:strCache>
            </c:strRef>
          </c:tx>
          <c:spPr>
            <a:solidFill>
              <a:schemeClr val="accent1"/>
            </a:solidFill>
            <a:ln>
              <a:noFill/>
            </a:ln>
            <a:effectLst/>
          </c:spPr>
          <c:invertIfNegative val="0"/>
          <c:cat>
            <c:strRef>
              <c:f>Data!$K$21:$K$28</c:f>
              <c:strCache>
                <c:ptCount val="8"/>
                <c:pt idx="0">
                  <c:v>Ahmedabad</c:v>
                </c:pt>
                <c:pt idx="1">
                  <c:v>Bengaluru</c:v>
                </c:pt>
                <c:pt idx="2">
                  <c:v>Chennai</c:v>
                </c:pt>
                <c:pt idx="3">
                  <c:v>Delhi</c:v>
                </c:pt>
                <c:pt idx="4">
                  <c:v>Hyderabad</c:v>
                </c:pt>
                <c:pt idx="5">
                  <c:v>Kolkata</c:v>
                </c:pt>
                <c:pt idx="6">
                  <c:v>Mumbai</c:v>
                </c:pt>
                <c:pt idx="7">
                  <c:v>Pune</c:v>
                </c:pt>
              </c:strCache>
            </c:strRef>
          </c:cat>
          <c:val>
            <c:numRef>
              <c:f>Data!$N$21:$N$28</c:f>
              <c:numCache>
                <c:formatCode>General</c:formatCode>
                <c:ptCount val="8"/>
                <c:pt idx="0">
                  <c:v>2001</c:v>
                </c:pt>
                <c:pt idx="1">
                  <c:v>5948</c:v>
                </c:pt>
                <c:pt idx="2">
                  <c:v>2354</c:v>
                </c:pt>
                <c:pt idx="3">
                  <c:v>3611</c:v>
                </c:pt>
                <c:pt idx="4">
                  <c:v>2423</c:v>
                </c:pt>
                <c:pt idx="5">
                  <c:v>2166</c:v>
                </c:pt>
                <c:pt idx="6">
                  <c:v>3550</c:v>
                </c:pt>
                <c:pt idx="7">
                  <c:v>1982</c:v>
                </c:pt>
              </c:numCache>
            </c:numRef>
          </c:val>
          <c:extLst>
            <c:ext xmlns:c16="http://schemas.microsoft.com/office/drawing/2014/chart" uri="{C3380CC4-5D6E-409C-BE32-E72D297353CC}">
              <c16:uniqueId val="{00000002-C3AC-4596-8B39-5A062388182C}"/>
            </c:ext>
          </c:extLst>
        </c:ser>
        <c:dLbls>
          <c:showLegendKey val="0"/>
          <c:showVal val="0"/>
          <c:showCatName val="0"/>
          <c:showSerName val="0"/>
          <c:showPercent val="0"/>
          <c:showBubbleSize val="0"/>
        </c:dLbls>
        <c:gapWidth val="219"/>
        <c:overlap val="-27"/>
        <c:axId val="88522975"/>
        <c:axId val="88521055"/>
      </c:barChart>
      <c:catAx>
        <c:axId val="885229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latin typeface="Arial Black" panose="020B0A04020102020204" pitchFamily="34" charset="0"/>
                  </a:rPr>
                  <a:t>City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521055"/>
        <c:crosses val="autoZero"/>
        <c:auto val="1"/>
        <c:lblAlgn val="ctr"/>
        <c:lblOffset val="100"/>
        <c:noMultiLvlLbl val="0"/>
      </c:catAx>
      <c:valAx>
        <c:axId val="885210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latin typeface="Arial Black" panose="020B0A04020102020204" pitchFamily="34" charset="0"/>
                  </a:rPr>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52297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Partner</a:t>
            </a:r>
            <a:r>
              <a:rPr lang="en-IN" baseline="0"/>
              <a:t> Type trends across Phases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Data!$P$10</c:f>
              <c:strCache>
                <c:ptCount val="1"/>
                <c:pt idx="0">
                  <c:v>Cloud Kitchen</c:v>
                </c:pt>
              </c:strCache>
            </c:strRef>
          </c:tx>
          <c:spPr>
            <a:solidFill>
              <a:srgbClr val="C00000"/>
            </a:solidFill>
            <a:ln>
              <a:noFill/>
            </a:ln>
            <a:effectLst/>
            <a:sp3d/>
          </c:spPr>
          <c:invertIfNegative val="0"/>
          <c:cat>
            <c:strRef>
              <c:f>Data!$Q$9:$S$9</c:f>
              <c:strCache>
                <c:ptCount val="3"/>
                <c:pt idx="0">
                  <c:v>pre-crisis</c:v>
                </c:pt>
                <c:pt idx="1">
                  <c:v>crisis</c:v>
                </c:pt>
                <c:pt idx="2">
                  <c:v>post-crisis</c:v>
                </c:pt>
              </c:strCache>
            </c:strRef>
          </c:cat>
          <c:val>
            <c:numRef>
              <c:f>Data!$Q$10:$S$10</c:f>
              <c:numCache>
                <c:formatCode>General</c:formatCode>
                <c:ptCount val="3"/>
                <c:pt idx="0">
                  <c:v>32199</c:v>
                </c:pt>
                <c:pt idx="1">
                  <c:v>2485</c:v>
                </c:pt>
                <c:pt idx="2">
                  <c:v>7177</c:v>
                </c:pt>
              </c:numCache>
            </c:numRef>
          </c:val>
          <c:extLst>
            <c:ext xmlns:c16="http://schemas.microsoft.com/office/drawing/2014/chart" uri="{C3380CC4-5D6E-409C-BE32-E72D297353CC}">
              <c16:uniqueId val="{00000000-74F2-4403-A934-23FDC65B2E74}"/>
            </c:ext>
          </c:extLst>
        </c:ser>
        <c:ser>
          <c:idx val="1"/>
          <c:order val="1"/>
          <c:tx>
            <c:strRef>
              <c:f>Data!$P$11</c:f>
              <c:strCache>
                <c:ptCount val="1"/>
                <c:pt idx="0">
                  <c:v>Restaurant</c:v>
                </c:pt>
              </c:strCache>
            </c:strRef>
          </c:tx>
          <c:spPr>
            <a:solidFill>
              <a:srgbClr val="26A69A"/>
            </a:solidFill>
            <a:ln>
              <a:noFill/>
            </a:ln>
            <a:effectLst/>
            <a:sp3d/>
          </c:spPr>
          <c:invertIfNegative val="0"/>
          <c:cat>
            <c:strRef>
              <c:f>Data!$Q$9:$S$9</c:f>
              <c:strCache>
                <c:ptCount val="3"/>
                <c:pt idx="0">
                  <c:v>pre-crisis</c:v>
                </c:pt>
                <c:pt idx="1">
                  <c:v>crisis</c:v>
                </c:pt>
                <c:pt idx="2">
                  <c:v>post-crisis</c:v>
                </c:pt>
              </c:strCache>
            </c:strRef>
          </c:cat>
          <c:val>
            <c:numRef>
              <c:f>Data!$Q$11:$S$11</c:f>
              <c:numCache>
                <c:formatCode>General</c:formatCode>
                <c:ptCount val="3"/>
                <c:pt idx="0">
                  <c:v>76561</c:v>
                </c:pt>
                <c:pt idx="1">
                  <c:v>5762</c:v>
                </c:pt>
                <c:pt idx="2">
                  <c:v>16858</c:v>
                </c:pt>
              </c:numCache>
            </c:numRef>
          </c:val>
          <c:extLst>
            <c:ext xmlns:c16="http://schemas.microsoft.com/office/drawing/2014/chart" uri="{C3380CC4-5D6E-409C-BE32-E72D297353CC}">
              <c16:uniqueId val="{00000001-74F2-4403-A934-23FDC65B2E74}"/>
            </c:ext>
          </c:extLst>
        </c:ser>
        <c:dLbls>
          <c:showLegendKey val="0"/>
          <c:showVal val="0"/>
          <c:showCatName val="0"/>
          <c:showSerName val="0"/>
          <c:showPercent val="0"/>
          <c:showBubbleSize val="0"/>
        </c:dLbls>
        <c:gapWidth val="150"/>
        <c:shape val="box"/>
        <c:axId val="582301775"/>
        <c:axId val="582299855"/>
        <c:axId val="0"/>
      </c:bar3DChart>
      <c:catAx>
        <c:axId val="5823017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latin typeface="Arial Black" panose="020B0A04020102020204" pitchFamily="34" charset="0"/>
                  </a:rPr>
                  <a:t>Partner</a:t>
                </a:r>
                <a:r>
                  <a:rPr lang="en-IN" baseline="0">
                    <a:latin typeface="Arial Black" panose="020B0A04020102020204" pitchFamily="34" charset="0"/>
                  </a:rPr>
                  <a:t> Type</a:t>
                </a:r>
                <a:endParaRPr lang="en-IN">
                  <a:latin typeface="Arial Black" panose="020B0A04020102020204" pitchFamily="34" charset="0"/>
                </a:endParaRPr>
              </a:p>
            </c:rich>
          </c:tx>
          <c:layout>
            <c:manualLayout>
              <c:xMode val="edge"/>
              <c:yMode val="edge"/>
              <c:x val="0.408423549312877"/>
              <c:y val="0.8929973619137490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299855"/>
        <c:crosses val="autoZero"/>
        <c:auto val="1"/>
        <c:lblAlgn val="ctr"/>
        <c:lblOffset val="100"/>
        <c:noMultiLvlLbl val="0"/>
      </c:catAx>
      <c:valAx>
        <c:axId val="5822998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latin typeface="Arial Black" panose="020B0A04020102020204" pitchFamily="34" charset="0"/>
                  </a:rPr>
                  <a:t>Order</a:t>
                </a:r>
                <a:r>
                  <a:rPr lang="en-IN" baseline="0">
                    <a:latin typeface="Arial Black" panose="020B0A04020102020204" pitchFamily="34" charset="0"/>
                  </a:rPr>
                  <a:t> Count</a:t>
                </a:r>
                <a:endParaRPr lang="en-IN">
                  <a:latin typeface="Arial Black" panose="020B0A04020102020204"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30177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AOV</a:t>
            </a:r>
            <a:r>
              <a:rPr lang="en-US" baseline="0"/>
              <a:t> per Order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Data!$Q$14</c:f>
              <c:strCache>
                <c:ptCount val="1"/>
                <c:pt idx="0">
                  <c:v>avg_order_value_or</c:v>
                </c:pt>
              </c:strCache>
            </c:strRef>
          </c:tx>
          <c:spPr>
            <a:solidFill>
              <a:schemeClr val="accent1"/>
            </a:solidFill>
            <a:ln>
              <a:noFill/>
            </a:ln>
            <a:effectLst/>
            <a:sp3d/>
          </c:spPr>
          <c:invertIfNegative val="0"/>
          <c:dPt>
            <c:idx val="0"/>
            <c:invertIfNegative val="0"/>
            <c:bubble3D val="0"/>
            <c:spPr>
              <a:solidFill>
                <a:srgbClr val="00B050"/>
              </a:solidFill>
              <a:ln>
                <a:noFill/>
              </a:ln>
              <a:effectLst/>
              <a:sp3d/>
            </c:spPr>
            <c:extLst>
              <c:ext xmlns:c16="http://schemas.microsoft.com/office/drawing/2014/chart" uri="{C3380CC4-5D6E-409C-BE32-E72D297353CC}">
                <c16:uniqueId val="{00000001-5098-443C-9DC7-E581E1E73CCC}"/>
              </c:ext>
            </c:extLst>
          </c:dPt>
          <c:dPt>
            <c:idx val="1"/>
            <c:invertIfNegative val="0"/>
            <c:bubble3D val="0"/>
            <c:spPr>
              <a:solidFill>
                <a:srgbClr val="C00000"/>
              </a:solidFill>
              <a:ln>
                <a:noFill/>
              </a:ln>
              <a:effectLst/>
              <a:sp3d/>
            </c:spPr>
            <c:extLst>
              <c:ext xmlns:c16="http://schemas.microsoft.com/office/drawing/2014/chart" uri="{C3380CC4-5D6E-409C-BE32-E72D297353CC}">
                <c16:uniqueId val="{00000002-5098-443C-9DC7-E581E1E73CCC}"/>
              </c:ext>
            </c:extLst>
          </c:dPt>
          <c:dLbls>
            <c:dLbl>
              <c:idx val="0"/>
              <c:layout>
                <c:manualLayout>
                  <c:x val="5.459770732619551E-3"/>
                  <c:y val="-3.0872793671806596E-2"/>
                </c:manualLayout>
              </c:layout>
              <c:tx>
                <c:rich>
                  <a:bodyPr/>
                  <a:lstStyle/>
                  <a:p>
                    <a:fld id="{D04749C3-ECA5-4EBC-BE28-E4FAC259AD62}" type="VALUE">
                      <a:rPr lang="en-US" sz="1000"/>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098-443C-9DC7-E581E1E73CCC}"/>
                </c:ext>
              </c:extLst>
            </c:dLbl>
            <c:dLbl>
              <c:idx val="1"/>
              <c:layout>
                <c:manualLayout>
                  <c:x val="5.459770732619551E-3"/>
                  <c:y val="-2.6700389047794749E-2"/>
                </c:manualLayout>
              </c:layout>
              <c:tx>
                <c:rich>
                  <a:bodyPr/>
                  <a:lstStyle/>
                  <a:p>
                    <a:fld id="{0BE6A2BB-DC31-41D0-B952-039473486368}" type="VALUE">
                      <a:rPr lang="en-US" sz="1000"/>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5098-443C-9DC7-E581E1E73CCC}"/>
                </c:ext>
              </c:extLst>
            </c:dLbl>
            <c:dLbl>
              <c:idx val="2"/>
              <c:layout>
                <c:manualLayout>
                  <c:x val="0"/>
                  <c:y val="-2.6700389047794749E-2"/>
                </c:manualLayout>
              </c:layout>
              <c:tx>
                <c:rich>
                  <a:bodyPr/>
                  <a:lstStyle/>
                  <a:p>
                    <a:fld id="{9EED5318-B723-4296-A154-9B8E5F1E048D}" type="VALUE">
                      <a:rPr lang="en-US" sz="1000"/>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79DE-4414-AB4F-D1D822E1F5D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Data!$P$15:$P$17</c:f>
              <c:strCache>
                <c:ptCount val="3"/>
                <c:pt idx="0">
                  <c:v>pre-crisis</c:v>
                </c:pt>
                <c:pt idx="1">
                  <c:v>crisis</c:v>
                </c:pt>
                <c:pt idx="2">
                  <c:v>post-crisis</c:v>
                </c:pt>
              </c:strCache>
            </c:strRef>
          </c:cat>
          <c:val>
            <c:numRef>
              <c:f>Data!$Q$15:$Q$17</c:f>
              <c:numCache>
                <c:formatCode>0.00</c:formatCode>
                <c:ptCount val="3"/>
                <c:pt idx="0">
                  <c:v>345.90809400000001</c:v>
                </c:pt>
                <c:pt idx="1">
                  <c:v>339.76773600000001</c:v>
                </c:pt>
                <c:pt idx="2">
                  <c:v>338.59316799999999</c:v>
                </c:pt>
              </c:numCache>
            </c:numRef>
          </c:val>
          <c:extLst>
            <c:ext xmlns:c16="http://schemas.microsoft.com/office/drawing/2014/chart" uri="{C3380CC4-5D6E-409C-BE32-E72D297353CC}">
              <c16:uniqueId val="{00000000-5098-443C-9DC7-E581E1E73CCC}"/>
            </c:ext>
          </c:extLst>
        </c:ser>
        <c:dLbls>
          <c:showLegendKey val="0"/>
          <c:showVal val="1"/>
          <c:showCatName val="0"/>
          <c:showSerName val="0"/>
          <c:showPercent val="0"/>
          <c:showBubbleSize val="0"/>
        </c:dLbls>
        <c:gapWidth val="150"/>
        <c:shape val="box"/>
        <c:axId val="257509440"/>
        <c:axId val="257508000"/>
        <c:axId val="0"/>
      </c:bar3DChart>
      <c:catAx>
        <c:axId val="2575094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latin typeface="Arial Black" panose="020B0A04020102020204" pitchFamily="34" charset="0"/>
                  </a:rPr>
                  <a:t>Phase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7508000"/>
        <c:crosses val="autoZero"/>
        <c:auto val="1"/>
        <c:lblAlgn val="ctr"/>
        <c:lblOffset val="100"/>
        <c:noMultiLvlLbl val="0"/>
      </c:catAx>
      <c:valAx>
        <c:axId val="2575080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IN">
                    <a:latin typeface="Arial Black" panose="020B0A04020102020204" pitchFamily="34" charset="0"/>
                  </a:rPr>
                  <a:t> </a:t>
                </a:r>
                <a:r>
                  <a:rPr lang="en-US" sz="1000" b="0" i="0" u="none" strike="noStrike" kern="1200" spc="0" baseline="0">
                    <a:solidFill>
                      <a:sysClr val="windowText" lastClr="000000">
                        <a:lumMod val="65000"/>
                        <a:lumOff val="35000"/>
                      </a:sysClr>
                    </a:solidFill>
                    <a:latin typeface="Arial Black" panose="020B0A04020102020204" pitchFamily="34" charset="0"/>
                  </a:rPr>
                  <a:t>avg_order_value_order</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7509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AOV per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Data!$Q$21</c:f>
              <c:strCache>
                <c:ptCount val="1"/>
                <c:pt idx="0">
                  <c:v>avg_order_value_cus</c:v>
                </c:pt>
              </c:strCache>
            </c:strRef>
          </c:tx>
          <c:spPr>
            <a:solidFill>
              <a:schemeClr val="accent1"/>
            </a:solidFill>
            <a:ln>
              <a:noFill/>
            </a:ln>
            <a:effectLst/>
            <a:sp3d/>
          </c:spPr>
          <c:invertIfNegative val="0"/>
          <c:dPt>
            <c:idx val="0"/>
            <c:invertIfNegative val="0"/>
            <c:bubble3D val="0"/>
            <c:spPr>
              <a:solidFill>
                <a:srgbClr val="00B050"/>
              </a:solidFill>
              <a:ln>
                <a:noFill/>
              </a:ln>
              <a:effectLst/>
              <a:sp3d/>
            </c:spPr>
            <c:extLst>
              <c:ext xmlns:c16="http://schemas.microsoft.com/office/drawing/2014/chart" uri="{C3380CC4-5D6E-409C-BE32-E72D297353CC}">
                <c16:uniqueId val="{00000001-DD82-4350-8714-B2CA4296D96B}"/>
              </c:ext>
            </c:extLst>
          </c:dPt>
          <c:dPt>
            <c:idx val="1"/>
            <c:invertIfNegative val="0"/>
            <c:bubble3D val="0"/>
            <c:spPr>
              <a:solidFill>
                <a:srgbClr val="C00000"/>
              </a:solidFill>
              <a:ln>
                <a:noFill/>
              </a:ln>
              <a:effectLst/>
              <a:sp3d/>
            </c:spPr>
            <c:extLst>
              <c:ext xmlns:c16="http://schemas.microsoft.com/office/drawing/2014/chart" uri="{C3380CC4-5D6E-409C-BE32-E72D297353CC}">
                <c16:uniqueId val="{00000002-DD82-4350-8714-B2CA4296D96B}"/>
              </c:ext>
            </c:extLst>
          </c:dPt>
          <c:dLbls>
            <c:dLbl>
              <c:idx val="0"/>
              <c:layout>
                <c:manualLayout>
                  <c:x val="5.6648770264480621E-3"/>
                  <c:y val="-1.7890769806719817E-2"/>
                </c:manualLayout>
              </c:layout>
              <c:tx>
                <c:rich>
                  <a:bodyPr/>
                  <a:lstStyle/>
                  <a:p>
                    <a:fld id="{E7AB89AA-A157-42AA-868C-03CB877EE247}" type="VALUE">
                      <a:rPr lang="en-US" sz="1050"/>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D82-4350-8714-B2CA4296D96B}"/>
                </c:ext>
              </c:extLst>
            </c:dLbl>
            <c:dLbl>
              <c:idx val="1"/>
              <c:layout>
                <c:manualLayout>
                  <c:x val="2.832438513224031E-3"/>
                  <c:y val="-8.4917764090477986E-3"/>
                </c:manualLayout>
              </c:layout>
              <c:tx>
                <c:rich>
                  <a:bodyPr/>
                  <a:lstStyle/>
                  <a:p>
                    <a:fld id="{8452C8A9-A734-49CF-B59B-8340301F70D8}" type="VALUE">
                      <a:rPr lang="en-US" sz="1050"/>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DD82-4350-8714-B2CA4296D96B}"/>
                </c:ext>
              </c:extLst>
            </c:dLbl>
            <c:dLbl>
              <c:idx val="2"/>
              <c:layout>
                <c:manualLayout>
                  <c:x val="1.4162192566120155E-2"/>
                  <c:y val="-3.0756980305713832E-2"/>
                </c:manualLayout>
              </c:layout>
              <c:tx>
                <c:rich>
                  <a:bodyPr/>
                  <a:lstStyle/>
                  <a:p>
                    <a:fld id="{D8DCD8E0-3952-4E71-AC6C-A94FFF81D942}" type="VALUE">
                      <a:rPr lang="en-US" sz="1050"/>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7C05-4F11-A965-79F2790D2B1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Data!$P$22:$P$24</c:f>
              <c:strCache>
                <c:ptCount val="3"/>
                <c:pt idx="0">
                  <c:v>pre-crisis</c:v>
                </c:pt>
                <c:pt idx="1">
                  <c:v>crisis</c:v>
                </c:pt>
                <c:pt idx="2">
                  <c:v>post-crisis</c:v>
                </c:pt>
              </c:strCache>
            </c:strRef>
          </c:cat>
          <c:val>
            <c:numRef>
              <c:f>Data!$Q$22:$Q$24</c:f>
              <c:numCache>
                <c:formatCode>0.00</c:formatCode>
                <c:ptCount val="3"/>
                <c:pt idx="0">
                  <c:v>453.72797500000001</c:v>
                </c:pt>
                <c:pt idx="1">
                  <c:v>542.423179</c:v>
                </c:pt>
                <c:pt idx="2">
                  <c:v>566.69680300000005</c:v>
                </c:pt>
              </c:numCache>
            </c:numRef>
          </c:val>
          <c:extLst>
            <c:ext xmlns:c16="http://schemas.microsoft.com/office/drawing/2014/chart" uri="{C3380CC4-5D6E-409C-BE32-E72D297353CC}">
              <c16:uniqueId val="{00000000-DD82-4350-8714-B2CA4296D96B}"/>
            </c:ext>
          </c:extLst>
        </c:ser>
        <c:dLbls>
          <c:showLegendKey val="0"/>
          <c:showVal val="1"/>
          <c:showCatName val="0"/>
          <c:showSerName val="0"/>
          <c:showPercent val="0"/>
          <c:showBubbleSize val="0"/>
        </c:dLbls>
        <c:gapWidth val="150"/>
        <c:shape val="box"/>
        <c:axId val="479622400"/>
        <c:axId val="479627200"/>
        <c:axId val="0"/>
      </c:bar3DChart>
      <c:catAx>
        <c:axId val="4796224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latin typeface="Arial Black" panose="020B0A04020102020204" pitchFamily="34" charset="0"/>
                  </a:rPr>
                  <a:t>Phase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627200"/>
        <c:crosses val="autoZero"/>
        <c:auto val="1"/>
        <c:lblAlgn val="ctr"/>
        <c:lblOffset val="100"/>
        <c:noMultiLvlLbl val="0"/>
      </c:catAx>
      <c:valAx>
        <c:axId val="4796272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000" b="0" i="0" u="none" strike="noStrike" kern="1200" spc="0" baseline="0">
                    <a:solidFill>
                      <a:sysClr val="windowText" lastClr="000000">
                        <a:lumMod val="65000"/>
                        <a:lumOff val="35000"/>
                      </a:sysClr>
                    </a:solidFill>
                    <a:latin typeface="Arial Black" panose="020B0A04020102020204" pitchFamily="34" charset="0"/>
                  </a:rPr>
                  <a:t>avg_order_value_cus</a:t>
                </a:r>
                <a:r>
                  <a:rPr lang="en-IN" sz="1000" b="0" i="0" u="none" strike="noStrike" kern="1200" spc="0" baseline="0">
                    <a:solidFill>
                      <a:sysClr val="windowText" lastClr="000000">
                        <a:lumMod val="65000"/>
                        <a:lumOff val="35000"/>
                      </a:sysClr>
                    </a:solidFill>
                    <a:latin typeface="Arial Black" panose="020B0A04020102020204" pitchFamily="34" charset="0"/>
                  </a:rPr>
                  <a:t>tomer</a:t>
                </a:r>
                <a:endParaRPr lang="en-US" sz="1000" b="0" i="0" u="none" strike="noStrike" kern="1200" spc="0" baseline="0">
                  <a:solidFill>
                    <a:sysClr val="windowText" lastClr="000000">
                      <a:lumMod val="65000"/>
                      <a:lumOff val="35000"/>
                    </a:sysClr>
                  </a:solidFill>
                  <a:latin typeface="Arial Black" panose="020B0A04020102020204" pitchFamily="34" charset="0"/>
                </a:endParaRPr>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622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Day-wise Order Trends Across Phases</a:t>
            </a:r>
            <a:r>
              <a:rPr lang="en-IN" sz="1400" b="0" i="0" u="none" strike="noStrike" baseline="0"/>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Data!$Q$28</c:f>
              <c:strCache>
                <c:ptCount val="1"/>
                <c:pt idx="0">
                  <c:v>pre-crisis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Data!$P$29:$P$35</c:f>
              <c:strCache>
                <c:ptCount val="7"/>
                <c:pt idx="0">
                  <c:v>Monday</c:v>
                </c:pt>
                <c:pt idx="1">
                  <c:v>Tuesday</c:v>
                </c:pt>
                <c:pt idx="2">
                  <c:v>Wednesday</c:v>
                </c:pt>
                <c:pt idx="3">
                  <c:v>Thursday</c:v>
                </c:pt>
                <c:pt idx="4">
                  <c:v>Friday</c:v>
                </c:pt>
                <c:pt idx="5">
                  <c:v>Saturday</c:v>
                </c:pt>
                <c:pt idx="6">
                  <c:v>Sunday</c:v>
                </c:pt>
              </c:strCache>
            </c:strRef>
          </c:cat>
          <c:val>
            <c:numRef>
              <c:f>Data!$Q$29:$Q$35</c:f>
              <c:numCache>
                <c:formatCode>General</c:formatCode>
                <c:ptCount val="7"/>
                <c:pt idx="0">
                  <c:v>14926</c:v>
                </c:pt>
                <c:pt idx="1">
                  <c:v>15094</c:v>
                </c:pt>
                <c:pt idx="2">
                  <c:v>15840</c:v>
                </c:pt>
                <c:pt idx="3">
                  <c:v>15882</c:v>
                </c:pt>
                <c:pt idx="4">
                  <c:v>15951</c:v>
                </c:pt>
                <c:pt idx="5">
                  <c:v>15878</c:v>
                </c:pt>
                <c:pt idx="6">
                  <c:v>15189</c:v>
                </c:pt>
              </c:numCache>
            </c:numRef>
          </c:val>
          <c:smooth val="0"/>
          <c:extLst>
            <c:ext xmlns:c16="http://schemas.microsoft.com/office/drawing/2014/chart" uri="{C3380CC4-5D6E-409C-BE32-E72D297353CC}">
              <c16:uniqueId val="{00000000-791C-44F4-897F-A279BB39D500}"/>
            </c:ext>
          </c:extLst>
        </c:ser>
        <c:ser>
          <c:idx val="1"/>
          <c:order val="1"/>
          <c:tx>
            <c:strRef>
              <c:f>Data!$R$28</c:f>
              <c:strCache>
                <c:ptCount val="1"/>
                <c:pt idx="0">
                  <c:v>crisis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Data!$P$29:$P$35</c:f>
              <c:strCache>
                <c:ptCount val="7"/>
                <c:pt idx="0">
                  <c:v>Monday</c:v>
                </c:pt>
                <c:pt idx="1">
                  <c:v>Tuesday</c:v>
                </c:pt>
                <c:pt idx="2">
                  <c:v>Wednesday</c:v>
                </c:pt>
                <c:pt idx="3">
                  <c:v>Thursday</c:v>
                </c:pt>
                <c:pt idx="4">
                  <c:v>Friday</c:v>
                </c:pt>
                <c:pt idx="5">
                  <c:v>Saturday</c:v>
                </c:pt>
                <c:pt idx="6">
                  <c:v>Sunday</c:v>
                </c:pt>
              </c:strCache>
            </c:strRef>
          </c:cat>
          <c:val>
            <c:numRef>
              <c:f>Data!$R$29:$R$35</c:f>
              <c:numCache>
                <c:formatCode>General</c:formatCode>
                <c:ptCount val="7"/>
                <c:pt idx="0">
                  <c:v>1133</c:v>
                </c:pt>
                <c:pt idx="1">
                  <c:v>1127</c:v>
                </c:pt>
                <c:pt idx="2">
                  <c:v>1123</c:v>
                </c:pt>
                <c:pt idx="3">
                  <c:v>1137</c:v>
                </c:pt>
                <c:pt idx="4">
                  <c:v>1171</c:v>
                </c:pt>
                <c:pt idx="5">
                  <c:v>1139</c:v>
                </c:pt>
                <c:pt idx="6">
                  <c:v>1417</c:v>
                </c:pt>
              </c:numCache>
            </c:numRef>
          </c:val>
          <c:smooth val="0"/>
          <c:extLst>
            <c:ext xmlns:c16="http://schemas.microsoft.com/office/drawing/2014/chart" uri="{C3380CC4-5D6E-409C-BE32-E72D297353CC}">
              <c16:uniqueId val="{00000001-791C-44F4-897F-A279BB39D500}"/>
            </c:ext>
          </c:extLst>
        </c:ser>
        <c:ser>
          <c:idx val="2"/>
          <c:order val="2"/>
          <c:tx>
            <c:strRef>
              <c:f>Data!$S$28</c:f>
              <c:strCache>
                <c:ptCount val="1"/>
                <c:pt idx="0">
                  <c:v>post-crisis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Data!$P$29:$P$35</c:f>
              <c:strCache>
                <c:ptCount val="7"/>
                <c:pt idx="0">
                  <c:v>Monday</c:v>
                </c:pt>
                <c:pt idx="1">
                  <c:v>Tuesday</c:v>
                </c:pt>
                <c:pt idx="2">
                  <c:v>Wednesday</c:v>
                </c:pt>
                <c:pt idx="3">
                  <c:v>Thursday</c:v>
                </c:pt>
                <c:pt idx="4">
                  <c:v>Friday</c:v>
                </c:pt>
                <c:pt idx="5">
                  <c:v>Saturday</c:v>
                </c:pt>
                <c:pt idx="6">
                  <c:v>Sunday</c:v>
                </c:pt>
              </c:strCache>
            </c:strRef>
          </c:cat>
          <c:val>
            <c:numRef>
              <c:f>Data!$S$29:$S$35</c:f>
              <c:numCache>
                <c:formatCode>General</c:formatCode>
                <c:ptCount val="7"/>
                <c:pt idx="0">
                  <c:v>3743</c:v>
                </c:pt>
                <c:pt idx="1">
                  <c:v>3612</c:v>
                </c:pt>
                <c:pt idx="2">
                  <c:v>3327</c:v>
                </c:pt>
                <c:pt idx="3">
                  <c:v>3343</c:v>
                </c:pt>
                <c:pt idx="4">
                  <c:v>3364</c:v>
                </c:pt>
                <c:pt idx="5">
                  <c:v>3275</c:v>
                </c:pt>
                <c:pt idx="6">
                  <c:v>3371</c:v>
                </c:pt>
              </c:numCache>
            </c:numRef>
          </c:val>
          <c:smooth val="0"/>
          <c:extLst>
            <c:ext xmlns:c16="http://schemas.microsoft.com/office/drawing/2014/chart" uri="{C3380CC4-5D6E-409C-BE32-E72D297353CC}">
              <c16:uniqueId val="{00000002-791C-44F4-897F-A279BB39D500}"/>
            </c:ext>
          </c:extLst>
        </c:ser>
        <c:dLbls>
          <c:dLblPos val="t"/>
          <c:showLegendKey val="0"/>
          <c:showVal val="1"/>
          <c:showCatName val="0"/>
          <c:showSerName val="0"/>
          <c:showPercent val="0"/>
          <c:showBubbleSize val="0"/>
        </c:dLbls>
        <c:marker val="1"/>
        <c:smooth val="0"/>
        <c:axId val="308095520"/>
        <c:axId val="308094560"/>
      </c:lineChart>
      <c:catAx>
        <c:axId val="3080955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latin typeface="Arial Black" panose="020B0A04020102020204" pitchFamily="34" charset="0"/>
                  </a:rPr>
                  <a:t>Day</a:t>
                </a:r>
                <a:r>
                  <a:rPr lang="en-IN" baseline="0">
                    <a:latin typeface="Arial Black" panose="020B0A04020102020204" pitchFamily="34" charset="0"/>
                  </a:rPr>
                  <a:t> of Week</a:t>
                </a:r>
                <a:endParaRPr lang="en-IN">
                  <a:latin typeface="Arial Black" panose="020B0A04020102020204" pitchFamily="34" charset="0"/>
                </a:endParaRPr>
              </a:p>
            </c:rich>
          </c:tx>
          <c:layout>
            <c:manualLayout>
              <c:xMode val="edge"/>
              <c:yMode val="edge"/>
              <c:x val="0.4635772552945393"/>
              <c:y val="0.9042106794109303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094560"/>
        <c:crosses val="autoZero"/>
        <c:auto val="1"/>
        <c:lblAlgn val="ctr"/>
        <c:lblOffset val="100"/>
        <c:noMultiLvlLbl val="0"/>
      </c:catAx>
      <c:valAx>
        <c:axId val="3080945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latin typeface="Arial Black" panose="020B0A04020102020204" pitchFamily="34" charset="0"/>
                  </a:rPr>
                  <a:t>Number</a:t>
                </a:r>
                <a:r>
                  <a:rPr lang="en-IN" baseline="0">
                    <a:latin typeface="Arial Black" panose="020B0A04020102020204" pitchFamily="34" charset="0"/>
                  </a:rPr>
                  <a:t> of Orders</a:t>
                </a:r>
                <a:endParaRPr lang="en-IN">
                  <a:latin typeface="Arial Black" panose="020B0A04020102020204"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09552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Preparation Time Trends Across Phases</a:t>
            </a:r>
            <a:endParaRPr lang="en-IN"/>
          </a:p>
        </c:rich>
      </c:tx>
      <c:layout>
        <c:manualLayout>
          <c:xMode val="edge"/>
          <c:yMode val="edge"/>
          <c:x val="0.1548333333333333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Data!$B$30</c:f>
              <c:strCache>
                <c:ptCount val="1"/>
                <c:pt idx="0">
                  <c:v>pre-crisis</c:v>
                </c:pt>
              </c:strCache>
            </c:strRef>
          </c:tx>
          <c:spPr>
            <a:solidFill>
              <a:srgbClr val="00B050"/>
            </a:solidFill>
            <a:ln>
              <a:solidFill>
                <a:srgbClr val="00B050"/>
              </a:solidFill>
            </a:ln>
            <a:effectLst/>
            <a:sp3d>
              <a:contourClr>
                <a:srgbClr val="00B050"/>
              </a:contourClr>
            </a:sp3d>
          </c:spPr>
          <c:invertIfNegative val="0"/>
          <c:cat>
            <c:strRef>
              <c:f>Data!$A$31:$A$34</c:f>
              <c:strCache>
                <c:ptCount val="4"/>
                <c:pt idx="0">
                  <c:v>16-25</c:v>
                </c:pt>
                <c:pt idx="1">
                  <c:v>26-40</c:v>
                </c:pt>
                <c:pt idx="2">
                  <c:v>&lt;=15</c:v>
                </c:pt>
                <c:pt idx="3">
                  <c:v>&gt;40</c:v>
                </c:pt>
              </c:strCache>
            </c:strRef>
          </c:cat>
          <c:val>
            <c:numRef>
              <c:f>Data!$B$31:$B$34</c:f>
              <c:numCache>
                <c:formatCode>0.00</c:formatCode>
                <c:ptCount val="4"/>
                <c:pt idx="0">
                  <c:v>39.702095999999997</c:v>
                </c:pt>
                <c:pt idx="1">
                  <c:v>24.982530000000001</c:v>
                </c:pt>
                <c:pt idx="2">
                  <c:v>25.318131999999999</c:v>
                </c:pt>
                <c:pt idx="3">
                  <c:v>9.997242</c:v>
                </c:pt>
              </c:numCache>
            </c:numRef>
          </c:val>
          <c:extLst>
            <c:ext xmlns:c16="http://schemas.microsoft.com/office/drawing/2014/chart" uri="{C3380CC4-5D6E-409C-BE32-E72D297353CC}">
              <c16:uniqueId val="{00000000-062F-40B0-8650-A962011074F7}"/>
            </c:ext>
          </c:extLst>
        </c:ser>
        <c:ser>
          <c:idx val="1"/>
          <c:order val="1"/>
          <c:tx>
            <c:strRef>
              <c:f>Data!$C$30</c:f>
              <c:strCache>
                <c:ptCount val="1"/>
                <c:pt idx="0">
                  <c:v>crisis</c:v>
                </c:pt>
              </c:strCache>
            </c:strRef>
          </c:tx>
          <c:spPr>
            <a:solidFill>
              <a:srgbClr val="C00000"/>
            </a:solidFill>
            <a:ln>
              <a:noFill/>
            </a:ln>
            <a:effectLst/>
            <a:sp3d/>
          </c:spPr>
          <c:invertIfNegative val="0"/>
          <c:cat>
            <c:strRef>
              <c:f>Data!$A$31:$A$34</c:f>
              <c:strCache>
                <c:ptCount val="4"/>
                <c:pt idx="0">
                  <c:v>16-25</c:v>
                </c:pt>
                <c:pt idx="1">
                  <c:v>26-40</c:v>
                </c:pt>
                <c:pt idx="2">
                  <c:v>&lt;=15</c:v>
                </c:pt>
                <c:pt idx="3">
                  <c:v>&gt;40</c:v>
                </c:pt>
              </c:strCache>
            </c:strRef>
          </c:cat>
          <c:val>
            <c:numRef>
              <c:f>Data!$C$31:$C$34</c:f>
              <c:numCache>
                <c:formatCode>0.00</c:formatCode>
                <c:ptCount val="4"/>
                <c:pt idx="0">
                  <c:v>39.893300000000004</c:v>
                </c:pt>
                <c:pt idx="1">
                  <c:v>25.888200000000001</c:v>
                </c:pt>
                <c:pt idx="2">
                  <c:v>24.857524000000002</c:v>
                </c:pt>
                <c:pt idx="3">
                  <c:v>9.3609500000000008</c:v>
                </c:pt>
              </c:numCache>
            </c:numRef>
          </c:val>
          <c:extLst>
            <c:ext xmlns:c16="http://schemas.microsoft.com/office/drawing/2014/chart" uri="{C3380CC4-5D6E-409C-BE32-E72D297353CC}">
              <c16:uniqueId val="{00000001-062F-40B0-8650-A962011074F7}"/>
            </c:ext>
          </c:extLst>
        </c:ser>
        <c:ser>
          <c:idx val="2"/>
          <c:order val="2"/>
          <c:tx>
            <c:strRef>
              <c:f>Data!$D$30</c:f>
              <c:strCache>
                <c:ptCount val="1"/>
                <c:pt idx="0">
                  <c:v>post-crisis</c:v>
                </c:pt>
              </c:strCache>
            </c:strRef>
          </c:tx>
          <c:spPr>
            <a:solidFill>
              <a:schemeClr val="accent1"/>
            </a:solidFill>
            <a:ln>
              <a:noFill/>
            </a:ln>
            <a:effectLst/>
            <a:sp3d/>
          </c:spPr>
          <c:invertIfNegative val="0"/>
          <c:cat>
            <c:strRef>
              <c:f>Data!$A$31:$A$34</c:f>
              <c:strCache>
                <c:ptCount val="4"/>
                <c:pt idx="0">
                  <c:v>16-25</c:v>
                </c:pt>
                <c:pt idx="1">
                  <c:v>26-40</c:v>
                </c:pt>
                <c:pt idx="2">
                  <c:v>&lt;=15</c:v>
                </c:pt>
                <c:pt idx="3">
                  <c:v>&gt;40</c:v>
                </c:pt>
              </c:strCache>
            </c:strRef>
          </c:cat>
          <c:val>
            <c:numRef>
              <c:f>Data!$D$31:$D$34</c:f>
              <c:numCache>
                <c:formatCode>0.00</c:formatCode>
                <c:ptCount val="4"/>
                <c:pt idx="0">
                  <c:v>39.683799999999998</c:v>
                </c:pt>
                <c:pt idx="1">
                  <c:v>25.633500000000002</c:v>
                </c:pt>
                <c:pt idx="2">
                  <c:v>24.472643999999999</c:v>
                </c:pt>
                <c:pt idx="3">
                  <c:v>10.21011</c:v>
                </c:pt>
              </c:numCache>
            </c:numRef>
          </c:val>
          <c:extLst>
            <c:ext xmlns:c16="http://schemas.microsoft.com/office/drawing/2014/chart" uri="{C3380CC4-5D6E-409C-BE32-E72D297353CC}">
              <c16:uniqueId val="{00000002-062F-40B0-8650-A962011074F7}"/>
            </c:ext>
          </c:extLst>
        </c:ser>
        <c:dLbls>
          <c:showLegendKey val="0"/>
          <c:showVal val="0"/>
          <c:showCatName val="0"/>
          <c:showSerName val="0"/>
          <c:showPercent val="0"/>
          <c:showBubbleSize val="0"/>
        </c:dLbls>
        <c:gapWidth val="150"/>
        <c:shape val="box"/>
        <c:axId val="228959536"/>
        <c:axId val="228950416"/>
        <c:axId val="0"/>
      </c:bar3DChart>
      <c:catAx>
        <c:axId val="2289595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latin typeface="Arial Black" panose="020B0A04020102020204" pitchFamily="34" charset="0"/>
                  </a:rPr>
                  <a:t>Avg_prep_time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950416"/>
        <c:crosses val="autoZero"/>
        <c:auto val="1"/>
        <c:lblAlgn val="ctr"/>
        <c:lblOffset val="100"/>
        <c:noMultiLvlLbl val="0"/>
      </c:catAx>
      <c:valAx>
        <c:axId val="228950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800" b="0" i="0" u="none" strike="noStrike" baseline="0">
                    <a:latin typeface="Arial Black" panose="020B0A04020102020204" pitchFamily="34" charset="0"/>
                  </a:rPr>
                  <a:t>Percentage of Orders (%)</a:t>
                </a:r>
                <a:endParaRPr lang="en-IN" sz="800">
                  <a:latin typeface="Arial Black" panose="020B0A04020102020204" pitchFamily="34" charset="0"/>
                </a:endParaRPr>
              </a:p>
            </c:rich>
          </c:tx>
          <c:layout>
            <c:manualLayout>
              <c:xMode val="edge"/>
              <c:yMode val="edge"/>
              <c:x val="8.3840113735783026E-2"/>
              <c:y val="9.7638888888888886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9595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SLA(%) vs</a:t>
            </a:r>
            <a:r>
              <a:rPr lang="en-US" baseline="0"/>
              <a:t> Phases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Data!$G$30</c:f>
              <c:strCache>
                <c:ptCount val="1"/>
                <c:pt idx="0">
                  <c:v>SLA(%)</c:v>
                </c:pt>
              </c:strCache>
            </c:strRef>
          </c:tx>
          <c:spPr>
            <a:solidFill>
              <a:schemeClr val="accent1"/>
            </a:solidFill>
            <a:ln>
              <a:noFill/>
            </a:ln>
            <a:effectLst/>
            <a:sp3d/>
          </c:spPr>
          <c:invertIfNegative val="0"/>
          <c:dPt>
            <c:idx val="0"/>
            <c:invertIfNegative val="0"/>
            <c:bubble3D val="0"/>
            <c:spPr>
              <a:solidFill>
                <a:srgbClr val="00B050"/>
              </a:solidFill>
              <a:ln>
                <a:noFill/>
              </a:ln>
              <a:effectLst/>
              <a:sp3d/>
            </c:spPr>
            <c:extLst>
              <c:ext xmlns:c16="http://schemas.microsoft.com/office/drawing/2014/chart" uri="{C3380CC4-5D6E-409C-BE32-E72D297353CC}">
                <c16:uniqueId val="{00000001-C09F-4D97-83D0-FA60CEBE22C6}"/>
              </c:ext>
            </c:extLst>
          </c:dPt>
          <c:dPt>
            <c:idx val="1"/>
            <c:invertIfNegative val="0"/>
            <c:bubble3D val="0"/>
            <c:spPr>
              <a:solidFill>
                <a:srgbClr val="C00000"/>
              </a:solidFill>
              <a:ln>
                <a:noFill/>
              </a:ln>
              <a:effectLst/>
              <a:sp3d/>
            </c:spPr>
            <c:extLst>
              <c:ext xmlns:c16="http://schemas.microsoft.com/office/drawing/2014/chart" uri="{C3380CC4-5D6E-409C-BE32-E72D297353CC}">
                <c16:uniqueId val="{00000002-C09F-4D97-83D0-FA60CEBE22C6}"/>
              </c:ext>
            </c:extLst>
          </c:dPt>
          <c:dLbls>
            <c:dLbl>
              <c:idx val="0"/>
              <c:tx>
                <c:rich>
                  <a:bodyPr/>
                  <a:lstStyle/>
                  <a:p>
                    <a:fld id="{5A7F9CD1-6376-4F3B-8130-8222AC57C717}" type="VALUE">
                      <a:rPr lang="en-US" sz="1200" baseline="0"/>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C09F-4D97-83D0-FA60CEBE22C6}"/>
                </c:ext>
              </c:extLst>
            </c:dLbl>
            <c:dLbl>
              <c:idx val="1"/>
              <c:tx>
                <c:rich>
                  <a:bodyPr/>
                  <a:lstStyle/>
                  <a:p>
                    <a:fld id="{633D067D-3AC9-4BEB-8A7C-B3D8ACEEB876}" type="VALUE">
                      <a:rPr lang="en-US" sz="1200"/>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C09F-4D97-83D0-FA60CEBE22C6}"/>
                </c:ext>
              </c:extLst>
            </c:dLbl>
            <c:dLbl>
              <c:idx val="2"/>
              <c:tx>
                <c:rich>
                  <a:bodyPr/>
                  <a:lstStyle/>
                  <a:p>
                    <a:fld id="{BA65D928-2D51-4353-B514-03CC63EBCA6A}" type="VALUE">
                      <a:rPr lang="en-US" sz="1200"/>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C09F-4D97-83D0-FA60CEBE22C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Data!$F$31:$F$33</c:f>
              <c:strCache>
                <c:ptCount val="3"/>
                <c:pt idx="0">
                  <c:v>pre-crisis</c:v>
                </c:pt>
                <c:pt idx="1">
                  <c:v>crisis</c:v>
                </c:pt>
                <c:pt idx="2">
                  <c:v>post-crisis</c:v>
                </c:pt>
              </c:strCache>
            </c:strRef>
          </c:cat>
          <c:val>
            <c:numRef>
              <c:f>Data!$G$31:$G$33</c:f>
              <c:numCache>
                <c:formatCode>0.00</c:formatCode>
                <c:ptCount val="3"/>
                <c:pt idx="0">
                  <c:v>43.59</c:v>
                </c:pt>
                <c:pt idx="1">
                  <c:v>11.79</c:v>
                </c:pt>
                <c:pt idx="2">
                  <c:v>12.44</c:v>
                </c:pt>
              </c:numCache>
            </c:numRef>
          </c:val>
          <c:extLst>
            <c:ext xmlns:c16="http://schemas.microsoft.com/office/drawing/2014/chart" uri="{C3380CC4-5D6E-409C-BE32-E72D297353CC}">
              <c16:uniqueId val="{00000000-C09F-4D97-83D0-FA60CEBE22C6}"/>
            </c:ext>
          </c:extLst>
        </c:ser>
        <c:dLbls>
          <c:showLegendKey val="0"/>
          <c:showVal val="1"/>
          <c:showCatName val="0"/>
          <c:showSerName val="0"/>
          <c:showPercent val="0"/>
          <c:showBubbleSize val="0"/>
        </c:dLbls>
        <c:gapWidth val="150"/>
        <c:shape val="box"/>
        <c:axId val="555246559"/>
        <c:axId val="555247519"/>
        <c:axId val="0"/>
      </c:bar3DChart>
      <c:catAx>
        <c:axId val="5552465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latin typeface="Arial Black" panose="020B0A04020102020204" pitchFamily="34" charset="0"/>
                  </a:rPr>
                  <a:t>Phase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247519"/>
        <c:crosses val="autoZero"/>
        <c:auto val="1"/>
        <c:lblAlgn val="ctr"/>
        <c:lblOffset val="100"/>
        <c:noMultiLvlLbl val="0"/>
      </c:catAx>
      <c:valAx>
        <c:axId val="5552475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latin typeface="Arial Black" panose="020B0A04020102020204" pitchFamily="34" charset="0"/>
                  </a:rPr>
                  <a:t>SLA</a:t>
                </a:r>
                <a:r>
                  <a:rPr lang="en-IN" baseline="0">
                    <a:latin typeface="Arial Black" panose="020B0A04020102020204" pitchFamily="34" charset="0"/>
                  </a:rPr>
                  <a:t> %</a:t>
                </a:r>
                <a:endParaRPr lang="en-IN">
                  <a:latin typeface="Arial Black" panose="020B0A04020102020204"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246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Restaurants based on Total_Revenue(all phases included)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Data!$B$39</c:f>
              <c:strCache>
                <c:ptCount val="1"/>
                <c:pt idx="0">
                  <c:v>total_revenue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Data!$A$40:$A$49</c:f>
              <c:strCache>
                <c:ptCount val="10"/>
                <c:pt idx="0">
                  <c:v>Punjabi Express Central</c:v>
                </c:pt>
                <c:pt idx="1">
                  <c:v>Hot &amp; Crispy Biryani Heaven</c:v>
                </c:pt>
                <c:pt idx="2">
                  <c:v>Thindi Mane Pizza Cafe</c:v>
                </c:pt>
                <c:pt idx="3">
                  <c:v>Hot &amp; Crispy Kitchen Clouds</c:v>
                </c:pt>
                <c:pt idx="4">
                  <c:v>Classic Tandoor Heaven</c:v>
                </c:pt>
                <c:pt idx="5">
                  <c:v>Annapurna Mess Corner</c:v>
                </c:pt>
                <c:pt idx="6">
                  <c:v>Tandoori Cafe Corner</c:v>
                </c:pt>
                <c:pt idx="7">
                  <c:v>Spicy Curry Zone</c:v>
                </c:pt>
                <c:pt idx="8">
                  <c:v>Thindi Mane Grill Darbar</c:v>
                </c:pt>
                <c:pt idx="9">
                  <c:v>Hot &amp; Crispy Darshini Clouds</c:v>
                </c:pt>
              </c:strCache>
            </c:strRef>
          </c:cat>
          <c:val>
            <c:numRef>
              <c:f>Data!$B$40:$B$49</c:f>
              <c:numCache>
                <c:formatCode>General</c:formatCode>
                <c:ptCount val="10"/>
                <c:pt idx="0">
                  <c:v>36072.71</c:v>
                </c:pt>
                <c:pt idx="1">
                  <c:v>32693.29</c:v>
                </c:pt>
                <c:pt idx="2">
                  <c:v>32488.38</c:v>
                </c:pt>
                <c:pt idx="3">
                  <c:v>31747.06</c:v>
                </c:pt>
                <c:pt idx="4">
                  <c:v>31589</c:v>
                </c:pt>
                <c:pt idx="5">
                  <c:v>29238.38</c:v>
                </c:pt>
                <c:pt idx="6">
                  <c:v>28832.38</c:v>
                </c:pt>
                <c:pt idx="7">
                  <c:v>28730.79</c:v>
                </c:pt>
                <c:pt idx="8">
                  <c:v>28142.23</c:v>
                </c:pt>
                <c:pt idx="9">
                  <c:v>27990.31</c:v>
                </c:pt>
              </c:numCache>
            </c:numRef>
          </c:val>
          <c:extLst>
            <c:ext xmlns:c16="http://schemas.microsoft.com/office/drawing/2014/chart" uri="{C3380CC4-5D6E-409C-BE32-E72D297353CC}">
              <c16:uniqueId val="{00000000-5F1B-40C1-B12D-71486DC14014}"/>
            </c:ext>
          </c:extLst>
        </c:ser>
        <c:dLbls>
          <c:dLblPos val="outEnd"/>
          <c:showLegendKey val="0"/>
          <c:showVal val="1"/>
          <c:showCatName val="0"/>
          <c:showSerName val="0"/>
          <c:showPercent val="0"/>
          <c:showBubbleSize val="0"/>
        </c:dLbls>
        <c:gapWidth val="150"/>
        <c:axId val="1952388831"/>
        <c:axId val="1952403711"/>
      </c:barChart>
      <c:catAx>
        <c:axId val="195238883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latin typeface="Arial Black" panose="020B0A04020102020204" pitchFamily="34" charset="0"/>
                  </a:rPr>
                  <a:t>Restaurant</a:t>
                </a:r>
                <a:r>
                  <a:rPr lang="en-IN" baseline="0">
                    <a:latin typeface="Arial Black" panose="020B0A04020102020204" pitchFamily="34" charset="0"/>
                  </a:rPr>
                  <a:t> Name</a:t>
                </a:r>
                <a:endParaRPr lang="en-IN">
                  <a:latin typeface="Arial Black" panose="020B0A04020102020204"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403711"/>
        <c:crosses val="autoZero"/>
        <c:auto val="1"/>
        <c:lblAlgn val="ctr"/>
        <c:lblOffset val="100"/>
        <c:noMultiLvlLbl val="0"/>
      </c:catAx>
      <c:valAx>
        <c:axId val="195240371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100" b="0" i="0" u="none" strike="noStrike" kern="1200" baseline="0">
                    <a:solidFill>
                      <a:sysClr val="windowText" lastClr="000000">
                        <a:lumMod val="65000"/>
                        <a:lumOff val="35000"/>
                      </a:sysClr>
                    </a:solidFill>
                    <a:latin typeface="Arial Black" panose="020B0A04020102020204" pitchFamily="34" charset="0"/>
                  </a:rPr>
                  <a:t>Total revenue (pre-cris, crisis, post-crisis</a:t>
                </a:r>
                <a:endParaRPr lang="en-IN" sz="1100"/>
              </a:p>
            </c:rich>
          </c:tx>
          <c:layout>
            <c:manualLayout>
              <c:xMode val="edge"/>
              <c:yMode val="edge"/>
              <c:x val="0.31341342600165545"/>
              <c:y val="0.8988927595423286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3888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Restaurant with Highest no.of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Data!$F$39</c:f>
              <c:strCache>
                <c:ptCount val="1"/>
                <c:pt idx="0">
                  <c:v>total_orders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Data!$E$40:$E$49</c:f>
              <c:strCache>
                <c:ptCount val="10"/>
                <c:pt idx="0">
                  <c:v>Punjabi Express Central</c:v>
                </c:pt>
                <c:pt idx="1">
                  <c:v>Thindi Mane Pizza Cafe</c:v>
                </c:pt>
                <c:pt idx="2">
                  <c:v>Classic Tandoor Heaven</c:v>
                </c:pt>
                <c:pt idx="3">
                  <c:v>Hot &amp; Crispy Biryani Heaven</c:v>
                </c:pt>
                <c:pt idx="4">
                  <c:v>Thindi Mane Grill Darbar</c:v>
                </c:pt>
                <c:pt idx="5">
                  <c:v>Hot &amp; Crispy Kitchen Clouds</c:v>
                </c:pt>
                <c:pt idx="6">
                  <c:v>Annapurna Mess Corner</c:v>
                </c:pt>
                <c:pt idx="7">
                  <c:v>Madras Delights Central</c:v>
                </c:pt>
                <c:pt idx="8">
                  <c:v>Hot &amp; Crispy Darshini Clouds</c:v>
                </c:pt>
                <c:pt idx="9">
                  <c:v>Spicy House Hub</c:v>
                </c:pt>
              </c:strCache>
            </c:strRef>
          </c:cat>
          <c:val>
            <c:numRef>
              <c:f>Data!$F$40:$F$49</c:f>
              <c:numCache>
                <c:formatCode>General</c:formatCode>
                <c:ptCount val="10"/>
                <c:pt idx="0">
                  <c:v>103</c:v>
                </c:pt>
                <c:pt idx="1">
                  <c:v>97</c:v>
                </c:pt>
                <c:pt idx="2">
                  <c:v>95</c:v>
                </c:pt>
                <c:pt idx="3">
                  <c:v>93</c:v>
                </c:pt>
                <c:pt idx="4">
                  <c:v>91</c:v>
                </c:pt>
                <c:pt idx="5">
                  <c:v>88</c:v>
                </c:pt>
                <c:pt idx="6">
                  <c:v>85</c:v>
                </c:pt>
                <c:pt idx="7">
                  <c:v>83</c:v>
                </c:pt>
                <c:pt idx="8">
                  <c:v>83</c:v>
                </c:pt>
                <c:pt idx="9">
                  <c:v>82</c:v>
                </c:pt>
              </c:numCache>
            </c:numRef>
          </c:val>
          <c:extLst>
            <c:ext xmlns:c16="http://schemas.microsoft.com/office/drawing/2014/chart" uri="{C3380CC4-5D6E-409C-BE32-E72D297353CC}">
              <c16:uniqueId val="{00000000-18EA-4BDA-A65C-8844B6D3EB13}"/>
            </c:ext>
          </c:extLst>
        </c:ser>
        <c:dLbls>
          <c:showLegendKey val="0"/>
          <c:showVal val="1"/>
          <c:showCatName val="0"/>
          <c:showSerName val="0"/>
          <c:showPercent val="0"/>
          <c:showBubbleSize val="0"/>
        </c:dLbls>
        <c:gapWidth val="150"/>
        <c:axId val="19216191"/>
        <c:axId val="19204191"/>
      </c:barChart>
      <c:catAx>
        <c:axId val="1921619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latin typeface="Arial Black" panose="020B0A04020102020204" pitchFamily="34" charset="0"/>
                  </a:rPr>
                  <a:t>Restaurant</a:t>
                </a:r>
                <a:r>
                  <a:rPr lang="en-IN" baseline="0">
                    <a:latin typeface="Arial Black" panose="020B0A04020102020204" pitchFamily="34" charset="0"/>
                  </a:rPr>
                  <a:t> Name</a:t>
                </a:r>
                <a:endParaRPr lang="en-IN">
                  <a:latin typeface="Arial Black" panose="020B0A04020102020204"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04191"/>
        <c:crosses val="autoZero"/>
        <c:auto val="1"/>
        <c:lblAlgn val="ctr"/>
        <c:lblOffset val="100"/>
        <c:noMultiLvlLbl val="0"/>
      </c:catAx>
      <c:valAx>
        <c:axId val="1920419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latin typeface="Arial Black" panose="020B0A04020102020204" pitchFamily="34" charset="0"/>
                  </a:rPr>
                  <a:t>Total</a:t>
                </a:r>
                <a:r>
                  <a:rPr lang="en-IN" baseline="0">
                    <a:latin typeface="Arial Black" panose="020B0A04020102020204" pitchFamily="34" charset="0"/>
                  </a:rPr>
                  <a:t> no.of Orders</a:t>
                </a:r>
                <a:endParaRPr lang="en-IN">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61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Cities with Total Restaurant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1"/>
        <c:ser>
          <c:idx val="0"/>
          <c:order val="0"/>
          <c:tx>
            <c:strRef>
              <c:f>Data!$J$38</c:f>
              <c:strCache>
                <c:ptCount val="1"/>
                <c:pt idx="0">
                  <c:v>restaurant_count</c:v>
                </c:pt>
              </c:strCache>
            </c:strRef>
          </c:tx>
          <c:invertIfNegative val="0"/>
          <c:dPt>
            <c:idx val="0"/>
            <c:invertIfNegative val="0"/>
            <c:bubble3D val="0"/>
            <c:spPr>
              <a:solidFill>
                <a:srgbClr val="0081CF"/>
              </a:solidFill>
              <a:ln>
                <a:noFill/>
              </a:ln>
              <a:effectLst/>
              <a:sp3d/>
            </c:spPr>
            <c:extLst>
              <c:ext xmlns:c16="http://schemas.microsoft.com/office/drawing/2014/chart" uri="{C3380CC4-5D6E-409C-BE32-E72D297353CC}">
                <c16:uniqueId val="{00000001-F90C-46AF-90C7-6EF63454A0C9}"/>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3-F90C-46AF-90C7-6EF63454A0C9}"/>
              </c:ext>
            </c:extLst>
          </c:dPt>
          <c:dPt>
            <c:idx val="2"/>
            <c:invertIfNegative val="0"/>
            <c:bubble3D val="0"/>
            <c:spPr>
              <a:solidFill>
                <a:srgbClr val="6BCB77"/>
              </a:solidFill>
              <a:ln>
                <a:noFill/>
              </a:ln>
              <a:effectLst/>
              <a:sp3d/>
            </c:spPr>
            <c:extLst>
              <c:ext xmlns:c16="http://schemas.microsoft.com/office/drawing/2014/chart" uri="{C3380CC4-5D6E-409C-BE32-E72D297353CC}">
                <c16:uniqueId val="{00000005-F90C-46AF-90C7-6EF63454A0C9}"/>
              </c:ext>
            </c:extLst>
          </c:dPt>
          <c:dPt>
            <c:idx val="3"/>
            <c:invertIfNegative val="0"/>
            <c:bubble3D val="0"/>
            <c:spPr>
              <a:solidFill>
                <a:schemeClr val="accent4"/>
              </a:solidFill>
              <a:ln>
                <a:noFill/>
              </a:ln>
              <a:effectLst/>
              <a:sp3d/>
            </c:spPr>
            <c:extLst>
              <c:ext xmlns:c16="http://schemas.microsoft.com/office/drawing/2014/chart" uri="{C3380CC4-5D6E-409C-BE32-E72D297353CC}">
                <c16:uniqueId val="{00000007-F90C-46AF-90C7-6EF63454A0C9}"/>
              </c:ext>
            </c:extLst>
          </c:dPt>
          <c:dPt>
            <c:idx val="4"/>
            <c:invertIfNegative val="0"/>
            <c:bubble3D val="0"/>
            <c:spPr>
              <a:solidFill>
                <a:srgbClr val="845EC2"/>
              </a:solidFill>
              <a:ln>
                <a:noFill/>
              </a:ln>
              <a:effectLst/>
              <a:sp3d/>
            </c:spPr>
            <c:extLst>
              <c:ext xmlns:c16="http://schemas.microsoft.com/office/drawing/2014/chart" uri="{C3380CC4-5D6E-409C-BE32-E72D297353CC}">
                <c16:uniqueId val="{00000009-F90C-46AF-90C7-6EF63454A0C9}"/>
              </c:ext>
            </c:extLst>
          </c:dPt>
          <c:dPt>
            <c:idx val="5"/>
            <c:invertIfNegative val="0"/>
            <c:bubble3D val="0"/>
            <c:spPr>
              <a:solidFill>
                <a:srgbClr val="FF6B6B"/>
              </a:solidFill>
              <a:ln>
                <a:noFill/>
              </a:ln>
              <a:effectLst/>
              <a:sp3d/>
            </c:spPr>
            <c:extLst>
              <c:ext xmlns:c16="http://schemas.microsoft.com/office/drawing/2014/chart" uri="{C3380CC4-5D6E-409C-BE32-E72D297353CC}">
                <c16:uniqueId val="{0000000B-F90C-46AF-90C7-6EF63454A0C9}"/>
              </c:ext>
            </c:extLst>
          </c:dPt>
          <c:dPt>
            <c:idx val="6"/>
            <c:invertIfNegative val="0"/>
            <c:bubble3D val="0"/>
            <c:spPr>
              <a:solidFill>
                <a:schemeClr val="accent1">
                  <a:lumMod val="60000"/>
                </a:schemeClr>
              </a:solidFill>
              <a:ln>
                <a:noFill/>
              </a:ln>
              <a:effectLst/>
              <a:sp3d/>
            </c:spPr>
            <c:extLst>
              <c:ext xmlns:c16="http://schemas.microsoft.com/office/drawing/2014/chart" uri="{C3380CC4-5D6E-409C-BE32-E72D297353CC}">
                <c16:uniqueId val="{0000000D-F90C-46AF-90C7-6EF63454A0C9}"/>
              </c:ext>
            </c:extLst>
          </c:dPt>
          <c:dPt>
            <c:idx val="7"/>
            <c:invertIfNegative val="0"/>
            <c:bubble3D val="0"/>
            <c:spPr>
              <a:solidFill>
                <a:schemeClr val="accent2">
                  <a:lumMod val="60000"/>
                </a:schemeClr>
              </a:solidFill>
              <a:ln>
                <a:noFill/>
              </a:ln>
              <a:effectLst/>
              <a:sp3d/>
            </c:spPr>
            <c:extLst>
              <c:ext xmlns:c16="http://schemas.microsoft.com/office/drawing/2014/chart" uri="{C3380CC4-5D6E-409C-BE32-E72D297353CC}">
                <c16:uniqueId val="{0000000F-F90C-46AF-90C7-6EF63454A0C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Data!$I$39:$I$46</c:f>
              <c:strCache>
                <c:ptCount val="8"/>
                <c:pt idx="0">
                  <c:v>Bengaluru</c:v>
                </c:pt>
                <c:pt idx="1">
                  <c:v>Mumbai</c:v>
                </c:pt>
                <c:pt idx="2">
                  <c:v>Delhi</c:v>
                </c:pt>
                <c:pt idx="3">
                  <c:v>Hyderabad</c:v>
                </c:pt>
                <c:pt idx="4">
                  <c:v>Chennai</c:v>
                </c:pt>
                <c:pt idx="5">
                  <c:v>Kolkata</c:v>
                </c:pt>
                <c:pt idx="6">
                  <c:v>Ahmedabad</c:v>
                </c:pt>
                <c:pt idx="7">
                  <c:v>Pune</c:v>
                </c:pt>
              </c:strCache>
            </c:strRef>
          </c:cat>
          <c:val>
            <c:numRef>
              <c:f>Data!$J$39:$J$46</c:f>
              <c:numCache>
                <c:formatCode>General</c:formatCode>
                <c:ptCount val="8"/>
                <c:pt idx="0">
                  <c:v>3098</c:v>
                </c:pt>
                <c:pt idx="1">
                  <c:v>2206</c:v>
                </c:pt>
                <c:pt idx="2">
                  <c:v>2202</c:v>
                </c:pt>
                <c:pt idx="3">
                  <c:v>1647</c:v>
                </c:pt>
                <c:pt idx="4">
                  <c:v>1623</c:v>
                </c:pt>
                <c:pt idx="5">
                  <c:v>1493</c:v>
                </c:pt>
                <c:pt idx="6">
                  <c:v>1402</c:v>
                </c:pt>
                <c:pt idx="7">
                  <c:v>1356</c:v>
                </c:pt>
              </c:numCache>
            </c:numRef>
          </c:val>
          <c:extLst>
            <c:ext xmlns:c16="http://schemas.microsoft.com/office/drawing/2014/chart" uri="{C3380CC4-5D6E-409C-BE32-E72D297353CC}">
              <c16:uniqueId val="{00000000-7A8A-43F9-A71B-76F7C6B4DCE5}"/>
            </c:ext>
          </c:extLst>
        </c:ser>
        <c:dLbls>
          <c:showLegendKey val="0"/>
          <c:showVal val="1"/>
          <c:showCatName val="0"/>
          <c:showSerName val="0"/>
          <c:showPercent val="0"/>
          <c:showBubbleSize val="0"/>
        </c:dLbls>
        <c:gapWidth val="150"/>
        <c:shape val="box"/>
        <c:axId val="19209951"/>
        <c:axId val="19225791"/>
        <c:axId val="0"/>
      </c:bar3DChart>
      <c:catAx>
        <c:axId val="192099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latin typeface="Arial Black" panose="020B0A04020102020204" pitchFamily="34" charset="0"/>
                  </a:rPr>
                  <a:t>City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5791"/>
        <c:crosses val="autoZero"/>
        <c:auto val="1"/>
        <c:lblAlgn val="ctr"/>
        <c:lblOffset val="100"/>
        <c:noMultiLvlLbl val="0"/>
      </c:catAx>
      <c:valAx>
        <c:axId val="192257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latin typeface="Arial Black" panose="020B0A04020102020204" pitchFamily="34" charset="0"/>
                  </a:rPr>
                  <a:t>no.of</a:t>
                </a:r>
                <a:r>
                  <a:rPr lang="en-IN" baseline="0">
                    <a:latin typeface="Arial Black" panose="020B0A04020102020204" pitchFamily="34" charset="0"/>
                  </a:rPr>
                  <a:t> Restaurant</a:t>
                </a:r>
                <a:endParaRPr lang="en-IN">
                  <a:latin typeface="Arial Black" panose="020B0A04020102020204" pitchFamily="34" charset="0"/>
                </a:endParaRPr>
              </a:p>
            </c:rich>
          </c:tx>
          <c:layout>
            <c:manualLayout>
              <c:xMode val="edge"/>
              <c:yMode val="edge"/>
              <c:x val="4.2216972878390199E-2"/>
              <c:y val="0.2101137357830271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099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a:t>
            </a:r>
            <a:r>
              <a:rPr lang="en-US"/>
              <a:t>Recovery</a:t>
            </a:r>
            <a:r>
              <a:rPr lang="en-US" baseline="0"/>
              <a:t> Percentage v/s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1"/>
        <c:ser>
          <c:idx val="0"/>
          <c:order val="0"/>
          <c:tx>
            <c:strRef>
              <c:f>Data!$R$39</c:f>
              <c:strCache>
                <c:ptCount val="1"/>
                <c:pt idx="0">
                  <c:v>recovery_pct</c:v>
                </c:pt>
              </c:strCache>
            </c:strRef>
          </c:tx>
          <c:invertIfNegative val="0"/>
          <c:dPt>
            <c:idx val="0"/>
            <c:invertIfNegative val="0"/>
            <c:bubble3D val="0"/>
            <c:spPr>
              <a:solidFill>
                <a:srgbClr val="002060"/>
              </a:solidFill>
              <a:ln>
                <a:noFill/>
              </a:ln>
              <a:effectLst/>
              <a:sp3d/>
            </c:spPr>
            <c:extLst>
              <c:ext xmlns:c16="http://schemas.microsoft.com/office/drawing/2014/chart" uri="{C3380CC4-5D6E-409C-BE32-E72D297353CC}">
                <c16:uniqueId val="{00000001-4C7C-4DCF-BCAA-7CEA62903E16}"/>
              </c:ext>
            </c:extLst>
          </c:dPt>
          <c:dPt>
            <c:idx val="1"/>
            <c:invertIfNegative val="0"/>
            <c:bubble3D val="0"/>
            <c:spPr>
              <a:solidFill>
                <a:srgbClr val="845EC2"/>
              </a:solidFill>
              <a:ln>
                <a:noFill/>
              </a:ln>
              <a:effectLst/>
              <a:sp3d/>
            </c:spPr>
            <c:extLst>
              <c:ext xmlns:c16="http://schemas.microsoft.com/office/drawing/2014/chart" uri="{C3380CC4-5D6E-409C-BE32-E72D297353CC}">
                <c16:uniqueId val="{00000003-4C7C-4DCF-BCAA-7CEA62903E16}"/>
              </c:ext>
            </c:extLst>
          </c:dPt>
          <c:dPt>
            <c:idx val="2"/>
            <c:invertIfNegative val="0"/>
            <c:bubble3D val="0"/>
            <c:spPr>
              <a:solidFill>
                <a:srgbClr val="0081CF"/>
              </a:solidFill>
              <a:ln>
                <a:noFill/>
              </a:ln>
              <a:effectLst/>
              <a:sp3d/>
            </c:spPr>
            <c:extLst>
              <c:ext xmlns:c16="http://schemas.microsoft.com/office/drawing/2014/chart" uri="{C3380CC4-5D6E-409C-BE32-E72D297353CC}">
                <c16:uniqueId val="{00000005-4C7C-4DCF-BCAA-7CEA62903E16}"/>
              </c:ext>
            </c:extLst>
          </c:dPt>
          <c:dPt>
            <c:idx val="3"/>
            <c:invertIfNegative val="0"/>
            <c:bubble3D val="0"/>
            <c:spPr>
              <a:solidFill>
                <a:schemeClr val="accent2">
                  <a:lumMod val="50000"/>
                </a:schemeClr>
              </a:solidFill>
              <a:ln>
                <a:noFill/>
              </a:ln>
              <a:effectLst/>
              <a:sp3d/>
            </c:spPr>
            <c:extLst>
              <c:ext xmlns:c16="http://schemas.microsoft.com/office/drawing/2014/chart" uri="{C3380CC4-5D6E-409C-BE32-E72D297353CC}">
                <c16:uniqueId val="{00000007-4C7C-4DCF-BCAA-7CEA62903E16}"/>
              </c:ext>
            </c:extLst>
          </c:dPt>
          <c:dPt>
            <c:idx val="4"/>
            <c:invertIfNegative val="0"/>
            <c:bubble3D val="0"/>
            <c:spPr>
              <a:solidFill>
                <a:schemeClr val="accent2"/>
              </a:solidFill>
              <a:ln>
                <a:noFill/>
              </a:ln>
              <a:effectLst/>
              <a:sp3d/>
            </c:spPr>
            <c:extLst>
              <c:ext xmlns:c16="http://schemas.microsoft.com/office/drawing/2014/chart" uri="{C3380CC4-5D6E-409C-BE32-E72D297353CC}">
                <c16:uniqueId val="{00000009-4C7C-4DCF-BCAA-7CEA62903E16}"/>
              </c:ext>
            </c:extLst>
          </c:dPt>
          <c:dPt>
            <c:idx val="5"/>
            <c:invertIfNegative val="0"/>
            <c:bubble3D val="0"/>
            <c:spPr>
              <a:solidFill>
                <a:srgbClr val="6BCB77"/>
              </a:solidFill>
              <a:ln>
                <a:noFill/>
              </a:ln>
              <a:effectLst/>
              <a:sp3d/>
            </c:spPr>
            <c:extLst>
              <c:ext xmlns:c16="http://schemas.microsoft.com/office/drawing/2014/chart" uri="{C3380CC4-5D6E-409C-BE32-E72D297353CC}">
                <c16:uniqueId val="{0000000B-4C7C-4DCF-BCAA-7CEA62903E16}"/>
              </c:ext>
            </c:extLst>
          </c:dPt>
          <c:dPt>
            <c:idx val="6"/>
            <c:invertIfNegative val="0"/>
            <c:bubble3D val="0"/>
            <c:spPr>
              <a:solidFill>
                <a:schemeClr val="accent4"/>
              </a:solidFill>
              <a:ln>
                <a:noFill/>
              </a:ln>
              <a:effectLst/>
              <a:sp3d/>
            </c:spPr>
            <c:extLst>
              <c:ext xmlns:c16="http://schemas.microsoft.com/office/drawing/2014/chart" uri="{C3380CC4-5D6E-409C-BE32-E72D297353CC}">
                <c16:uniqueId val="{0000000D-4C7C-4DCF-BCAA-7CEA62903E16}"/>
              </c:ext>
            </c:extLst>
          </c:dPt>
          <c:dPt>
            <c:idx val="7"/>
            <c:invertIfNegative val="0"/>
            <c:bubble3D val="0"/>
            <c:spPr>
              <a:solidFill>
                <a:srgbClr val="FF6B6B"/>
              </a:solidFill>
              <a:ln>
                <a:noFill/>
              </a:ln>
              <a:effectLst/>
              <a:sp3d/>
            </c:spPr>
            <c:extLst>
              <c:ext xmlns:c16="http://schemas.microsoft.com/office/drawing/2014/chart" uri="{C3380CC4-5D6E-409C-BE32-E72D297353CC}">
                <c16:uniqueId val="{0000000F-4C7C-4DCF-BCAA-7CEA62903E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Data!$M$40:$M$47</c:f>
              <c:strCache>
                <c:ptCount val="8"/>
                <c:pt idx="0">
                  <c:v>Ahmedabad</c:v>
                </c:pt>
                <c:pt idx="1">
                  <c:v>Chennai</c:v>
                </c:pt>
                <c:pt idx="2">
                  <c:v>Bengaluru</c:v>
                </c:pt>
                <c:pt idx="3">
                  <c:v>Pune</c:v>
                </c:pt>
                <c:pt idx="4">
                  <c:v>Mumbai</c:v>
                </c:pt>
                <c:pt idx="5">
                  <c:v>Delhi</c:v>
                </c:pt>
                <c:pt idx="6">
                  <c:v>Hyderabad</c:v>
                </c:pt>
                <c:pt idx="7">
                  <c:v>Kolkata</c:v>
                </c:pt>
              </c:strCache>
            </c:strRef>
          </c:cat>
          <c:val>
            <c:numRef>
              <c:f>Data!$R$40:$R$47</c:f>
              <c:numCache>
                <c:formatCode>0.00</c:formatCode>
                <c:ptCount val="8"/>
                <c:pt idx="0">
                  <c:v>205.963303</c:v>
                </c:pt>
                <c:pt idx="1">
                  <c:v>202.570694</c:v>
                </c:pt>
                <c:pt idx="2">
                  <c:v>196.658354</c:v>
                </c:pt>
                <c:pt idx="3">
                  <c:v>190.615836</c:v>
                </c:pt>
                <c:pt idx="4">
                  <c:v>187.682334</c:v>
                </c:pt>
                <c:pt idx="5">
                  <c:v>184.554768</c:v>
                </c:pt>
                <c:pt idx="6">
                  <c:v>184.38967099999999</c:v>
                </c:pt>
                <c:pt idx="7">
                  <c:v>180.206986</c:v>
                </c:pt>
              </c:numCache>
            </c:numRef>
          </c:val>
          <c:extLst>
            <c:ext xmlns:c16="http://schemas.microsoft.com/office/drawing/2014/chart" uri="{C3380CC4-5D6E-409C-BE32-E72D297353CC}">
              <c16:uniqueId val="{00000000-2AB3-4B31-8034-620549572F12}"/>
            </c:ext>
          </c:extLst>
        </c:ser>
        <c:dLbls>
          <c:showLegendKey val="0"/>
          <c:showVal val="1"/>
          <c:showCatName val="0"/>
          <c:showSerName val="0"/>
          <c:showPercent val="0"/>
          <c:showBubbleSize val="0"/>
        </c:dLbls>
        <c:gapWidth val="150"/>
        <c:shape val="box"/>
        <c:axId val="1755574271"/>
        <c:axId val="1755571871"/>
        <c:axId val="0"/>
      </c:bar3DChart>
      <c:catAx>
        <c:axId val="17555742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latin typeface="Arial Black" panose="020B0A04020102020204" pitchFamily="34" charset="0"/>
                  </a:rPr>
                  <a:t>City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571871"/>
        <c:crosses val="autoZero"/>
        <c:auto val="1"/>
        <c:lblAlgn val="ctr"/>
        <c:lblOffset val="100"/>
        <c:noMultiLvlLbl val="0"/>
      </c:catAx>
      <c:valAx>
        <c:axId val="17555718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latin typeface="Arial Black" panose="020B0A04020102020204" pitchFamily="34" charset="0"/>
                  </a:rPr>
                  <a:t>Recovery</a:t>
                </a:r>
                <a:r>
                  <a:rPr lang="en-IN" baseline="0">
                    <a:latin typeface="Arial Black" panose="020B0A04020102020204" pitchFamily="34" charset="0"/>
                  </a:rPr>
                  <a:t> Percentage</a:t>
                </a:r>
                <a:endParaRPr lang="en-IN">
                  <a:latin typeface="Arial Black" panose="020B0A04020102020204" pitchFamily="34" charset="0"/>
                </a:endParaRPr>
              </a:p>
            </c:rich>
          </c:tx>
          <c:layout>
            <c:manualLayout>
              <c:xMode val="edge"/>
              <c:yMode val="edge"/>
              <c:x val="3.6654245082260589E-2"/>
              <c:y val="0.1714216985502542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574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Restaurant</a:t>
            </a:r>
            <a:r>
              <a:rPr lang="en-IN" baseline="0"/>
              <a:t> Category v/s City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Data!$N$51</c:f>
              <c:strCache>
                <c:ptCount val="1"/>
                <c:pt idx="0">
                  <c:v>Declining / At Risk</c:v>
                </c:pt>
              </c:strCache>
            </c:strRef>
          </c:tx>
          <c:spPr>
            <a:solidFill>
              <a:srgbClr val="C00000"/>
            </a:solidFill>
            <a:ln>
              <a:noFill/>
            </a:ln>
            <a:effectLst/>
            <a:sp3d/>
          </c:spPr>
          <c:invertIfNegative val="0"/>
          <c:cat>
            <c:strRef>
              <c:f>Data!$M$52:$M$59</c:f>
              <c:strCache>
                <c:ptCount val="8"/>
                <c:pt idx="0">
                  <c:v>Bengaluru</c:v>
                </c:pt>
                <c:pt idx="1">
                  <c:v>Delhi</c:v>
                </c:pt>
                <c:pt idx="2">
                  <c:v>Mumbai</c:v>
                </c:pt>
                <c:pt idx="3">
                  <c:v>Hyderabad</c:v>
                </c:pt>
                <c:pt idx="4">
                  <c:v>Chennai</c:v>
                </c:pt>
                <c:pt idx="5">
                  <c:v>Kolkata</c:v>
                </c:pt>
                <c:pt idx="6">
                  <c:v>Ahmedabad</c:v>
                </c:pt>
                <c:pt idx="7">
                  <c:v>Pune</c:v>
                </c:pt>
              </c:strCache>
            </c:strRef>
          </c:cat>
          <c:val>
            <c:numRef>
              <c:f>Data!$N$52:$N$59</c:f>
              <c:numCache>
                <c:formatCode>General</c:formatCode>
                <c:ptCount val="8"/>
                <c:pt idx="0">
                  <c:v>523</c:v>
                </c:pt>
                <c:pt idx="1">
                  <c:v>408</c:v>
                </c:pt>
                <c:pt idx="2">
                  <c:v>409</c:v>
                </c:pt>
                <c:pt idx="3">
                  <c:v>317</c:v>
                </c:pt>
                <c:pt idx="4">
                  <c:v>295</c:v>
                </c:pt>
                <c:pt idx="5">
                  <c:v>270</c:v>
                </c:pt>
                <c:pt idx="6">
                  <c:v>248</c:v>
                </c:pt>
                <c:pt idx="7">
                  <c:v>234</c:v>
                </c:pt>
              </c:numCache>
            </c:numRef>
          </c:val>
          <c:extLst>
            <c:ext xmlns:c16="http://schemas.microsoft.com/office/drawing/2014/chart" uri="{C3380CC4-5D6E-409C-BE32-E72D297353CC}">
              <c16:uniqueId val="{00000000-69BD-41F2-801C-785CB66729C7}"/>
            </c:ext>
          </c:extLst>
        </c:ser>
        <c:ser>
          <c:idx val="1"/>
          <c:order val="1"/>
          <c:tx>
            <c:strRef>
              <c:f>Data!$O$51</c:f>
              <c:strCache>
                <c:ptCount val="1"/>
                <c:pt idx="0">
                  <c:v>Moderate Recovery</c:v>
                </c:pt>
              </c:strCache>
            </c:strRef>
          </c:tx>
          <c:spPr>
            <a:solidFill>
              <a:schemeClr val="accent2"/>
            </a:solidFill>
            <a:ln>
              <a:noFill/>
            </a:ln>
            <a:effectLst/>
            <a:sp3d/>
          </c:spPr>
          <c:invertIfNegative val="0"/>
          <c:cat>
            <c:strRef>
              <c:f>Data!$M$52:$M$59</c:f>
              <c:strCache>
                <c:ptCount val="8"/>
                <c:pt idx="0">
                  <c:v>Bengaluru</c:v>
                </c:pt>
                <c:pt idx="1">
                  <c:v>Delhi</c:v>
                </c:pt>
                <c:pt idx="2">
                  <c:v>Mumbai</c:v>
                </c:pt>
                <c:pt idx="3">
                  <c:v>Hyderabad</c:v>
                </c:pt>
                <c:pt idx="4">
                  <c:v>Chennai</c:v>
                </c:pt>
                <c:pt idx="5">
                  <c:v>Kolkata</c:v>
                </c:pt>
                <c:pt idx="6">
                  <c:v>Ahmedabad</c:v>
                </c:pt>
                <c:pt idx="7">
                  <c:v>Pune</c:v>
                </c:pt>
              </c:strCache>
            </c:strRef>
          </c:cat>
          <c:val>
            <c:numRef>
              <c:f>Data!$O$52:$O$59</c:f>
              <c:numCache>
                <c:formatCode>General</c:formatCode>
                <c:ptCount val="8"/>
                <c:pt idx="0">
                  <c:v>330</c:v>
                </c:pt>
                <c:pt idx="1">
                  <c:v>167</c:v>
                </c:pt>
                <c:pt idx="2">
                  <c:v>138</c:v>
                </c:pt>
                <c:pt idx="3">
                  <c:v>87</c:v>
                </c:pt>
                <c:pt idx="4">
                  <c:v>82</c:v>
                </c:pt>
                <c:pt idx="5">
                  <c:v>98</c:v>
                </c:pt>
                <c:pt idx="6">
                  <c:v>61</c:v>
                </c:pt>
                <c:pt idx="7">
                  <c:v>78</c:v>
                </c:pt>
              </c:numCache>
            </c:numRef>
          </c:val>
          <c:extLst>
            <c:ext xmlns:c16="http://schemas.microsoft.com/office/drawing/2014/chart" uri="{C3380CC4-5D6E-409C-BE32-E72D297353CC}">
              <c16:uniqueId val="{00000001-69BD-41F2-801C-785CB66729C7}"/>
            </c:ext>
          </c:extLst>
        </c:ser>
        <c:ser>
          <c:idx val="2"/>
          <c:order val="2"/>
          <c:tx>
            <c:strRef>
              <c:f>Data!$P$51</c:f>
              <c:strCache>
                <c:ptCount val="1"/>
                <c:pt idx="0">
                  <c:v>Reactivated / New</c:v>
                </c:pt>
              </c:strCache>
            </c:strRef>
          </c:tx>
          <c:spPr>
            <a:solidFill>
              <a:srgbClr val="00B050"/>
            </a:solidFill>
            <a:ln>
              <a:noFill/>
            </a:ln>
            <a:effectLst/>
            <a:sp3d/>
          </c:spPr>
          <c:invertIfNegative val="0"/>
          <c:cat>
            <c:strRef>
              <c:f>Data!$M$52:$M$59</c:f>
              <c:strCache>
                <c:ptCount val="8"/>
                <c:pt idx="0">
                  <c:v>Bengaluru</c:v>
                </c:pt>
                <c:pt idx="1">
                  <c:v>Delhi</c:v>
                </c:pt>
                <c:pt idx="2">
                  <c:v>Mumbai</c:v>
                </c:pt>
                <c:pt idx="3">
                  <c:v>Hyderabad</c:v>
                </c:pt>
                <c:pt idx="4">
                  <c:v>Chennai</c:v>
                </c:pt>
                <c:pt idx="5">
                  <c:v>Kolkata</c:v>
                </c:pt>
                <c:pt idx="6">
                  <c:v>Ahmedabad</c:v>
                </c:pt>
                <c:pt idx="7">
                  <c:v>Pune</c:v>
                </c:pt>
              </c:strCache>
            </c:strRef>
          </c:cat>
          <c:val>
            <c:numRef>
              <c:f>Data!$P$52:$P$59</c:f>
              <c:numCache>
                <c:formatCode>General</c:formatCode>
                <c:ptCount val="8"/>
                <c:pt idx="0">
                  <c:v>1750</c:v>
                </c:pt>
                <c:pt idx="1">
                  <c:v>1277</c:v>
                </c:pt>
                <c:pt idx="2">
                  <c:v>1325</c:v>
                </c:pt>
                <c:pt idx="3">
                  <c:v>1006</c:v>
                </c:pt>
                <c:pt idx="4">
                  <c:v>1027</c:v>
                </c:pt>
                <c:pt idx="5">
                  <c:v>911</c:v>
                </c:pt>
                <c:pt idx="6">
                  <c:v>901</c:v>
                </c:pt>
                <c:pt idx="7">
                  <c:v>855</c:v>
                </c:pt>
              </c:numCache>
            </c:numRef>
          </c:val>
          <c:extLst>
            <c:ext xmlns:c16="http://schemas.microsoft.com/office/drawing/2014/chart" uri="{C3380CC4-5D6E-409C-BE32-E72D297353CC}">
              <c16:uniqueId val="{00000002-69BD-41F2-801C-785CB66729C7}"/>
            </c:ext>
          </c:extLst>
        </c:ser>
        <c:ser>
          <c:idx val="3"/>
          <c:order val="3"/>
          <c:tx>
            <c:strRef>
              <c:f>Data!$Q$51</c:f>
              <c:strCache>
                <c:ptCount val="1"/>
                <c:pt idx="0">
                  <c:v>Strong Recovery</c:v>
                </c:pt>
              </c:strCache>
            </c:strRef>
          </c:tx>
          <c:spPr>
            <a:solidFill>
              <a:schemeClr val="accent4"/>
            </a:solidFill>
            <a:ln>
              <a:noFill/>
            </a:ln>
            <a:effectLst/>
            <a:sp3d/>
          </c:spPr>
          <c:invertIfNegative val="0"/>
          <c:cat>
            <c:strRef>
              <c:f>Data!$M$52:$M$59</c:f>
              <c:strCache>
                <c:ptCount val="8"/>
                <c:pt idx="0">
                  <c:v>Bengaluru</c:v>
                </c:pt>
                <c:pt idx="1">
                  <c:v>Delhi</c:v>
                </c:pt>
                <c:pt idx="2">
                  <c:v>Mumbai</c:v>
                </c:pt>
                <c:pt idx="3">
                  <c:v>Hyderabad</c:v>
                </c:pt>
                <c:pt idx="4">
                  <c:v>Chennai</c:v>
                </c:pt>
                <c:pt idx="5">
                  <c:v>Kolkata</c:v>
                </c:pt>
                <c:pt idx="6">
                  <c:v>Ahmedabad</c:v>
                </c:pt>
                <c:pt idx="7">
                  <c:v>Pune</c:v>
                </c:pt>
              </c:strCache>
            </c:strRef>
          </c:cat>
          <c:val>
            <c:numRef>
              <c:f>Data!$Q$52:$Q$59</c:f>
              <c:numCache>
                <c:formatCode>General</c:formatCode>
                <c:ptCount val="8"/>
                <c:pt idx="0">
                  <c:v>495</c:v>
                </c:pt>
                <c:pt idx="1">
                  <c:v>350</c:v>
                </c:pt>
                <c:pt idx="2">
                  <c:v>334</c:v>
                </c:pt>
                <c:pt idx="3">
                  <c:v>237</c:v>
                </c:pt>
                <c:pt idx="4">
                  <c:v>219</c:v>
                </c:pt>
                <c:pt idx="5">
                  <c:v>214</c:v>
                </c:pt>
                <c:pt idx="6">
                  <c:v>192</c:v>
                </c:pt>
                <c:pt idx="7">
                  <c:v>189</c:v>
                </c:pt>
              </c:numCache>
            </c:numRef>
          </c:val>
          <c:extLst>
            <c:ext xmlns:c16="http://schemas.microsoft.com/office/drawing/2014/chart" uri="{C3380CC4-5D6E-409C-BE32-E72D297353CC}">
              <c16:uniqueId val="{00000003-69BD-41F2-801C-785CB66729C7}"/>
            </c:ext>
          </c:extLst>
        </c:ser>
        <c:dLbls>
          <c:showLegendKey val="0"/>
          <c:showVal val="0"/>
          <c:showCatName val="0"/>
          <c:showSerName val="0"/>
          <c:showPercent val="0"/>
          <c:showBubbleSize val="0"/>
        </c:dLbls>
        <c:gapWidth val="150"/>
        <c:shape val="box"/>
        <c:axId val="602644783"/>
        <c:axId val="602645263"/>
        <c:axId val="0"/>
      </c:bar3DChart>
      <c:catAx>
        <c:axId val="6026447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0">
                    <a:latin typeface="Arial Black" panose="020B0A04020102020204" pitchFamily="34" charset="0"/>
                  </a:rPr>
                  <a:t>City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645263"/>
        <c:crosses val="autoZero"/>
        <c:auto val="1"/>
        <c:lblAlgn val="ctr"/>
        <c:lblOffset val="100"/>
        <c:noMultiLvlLbl val="0"/>
      </c:catAx>
      <c:valAx>
        <c:axId val="6026452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latin typeface="Arial Black" panose="020B0A04020102020204" pitchFamily="34" charset="0"/>
                  </a:rPr>
                  <a:t>no.of</a:t>
                </a:r>
                <a:r>
                  <a:rPr lang="en-IN" baseline="0">
                    <a:latin typeface="Arial Black" panose="020B0A04020102020204" pitchFamily="34" charset="0"/>
                  </a:rPr>
                  <a:t> Resturant</a:t>
                </a:r>
                <a:endParaRPr lang="en-IN">
                  <a:latin typeface="Arial Black" panose="020B0A04020102020204" pitchFamily="34" charset="0"/>
                </a:endParaRPr>
              </a:p>
            </c:rich>
          </c:tx>
          <c:layout>
            <c:manualLayout>
              <c:xMode val="edge"/>
              <c:yMode val="edge"/>
              <c:x val="7.4838109560276353E-2"/>
              <c:y val="0.1930147328052491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64478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b="0"/>
              <a:t>National Recovery Distribution of Restaurants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Data!$F$53</c:f>
              <c:strCache>
                <c:ptCount val="1"/>
                <c:pt idx="0">
                  <c:v>% of Restaurants</c:v>
                </c:pt>
              </c:strCache>
            </c:strRef>
          </c:tx>
          <c:dPt>
            <c:idx val="0"/>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9407-4984-BC38-8222DA3BD7D2}"/>
              </c:ext>
            </c:extLst>
          </c:dPt>
          <c:dPt>
            <c:idx val="1"/>
            <c:bubble3D val="0"/>
            <c:spPr>
              <a:solidFill>
                <a:srgbClr val="FFC000"/>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407-4984-BC38-8222DA3BD7D2}"/>
              </c:ext>
            </c:extLst>
          </c:dPt>
          <c:dPt>
            <c:idx val="2"/>
            <c:bubble3D val="0"/>
            <c:spPr>
              <a:solidFill>
                <a:srgbClr val="00B050"/>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9407-4984-BC38-8222DA3BD7D2}"/>
              </c:ext>
            </c:extLst>
          </c:dPt>
          <c:dPt>
            <c:idx val="3"/>
            <c:bubble3D val="0"/>
            <c:spPr>
              <a:solidFill>
                <a:srgbClr val="C00000"/>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9407-4984-BC38-8222DA3BD7D2}"/>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Data!$E$54:$E$57</c:f>
              <c:strCache>
                <c:ptCount val="4"/>
                <c:pt idx="0">
                  <c:v>Moderate Recovery</c:v>
                </c:pt>
                <c:pt idx="1">
                  <c:v>Strong Recovery</c:v>
                </c:pt>
                <c:pt idx="2">
                  <c:v>Reactivated / New</c:v>
                </c:pt>
                <c:pt idx="3">
                  <c:v>Declining / At Risk</c:v>
                </c:pt>
              </c:strCache>
            </c:strRef>
          </c:cat>
          <c:val>
            <c:numRef>
              <c:f>Data!$F$54:$F$57</c:f>
              <c:numCache>
                <c:formatCode>0.00</c:formatCode>
                <c:ptCount val="4"/>
                <c:pt idx="0">
                  <c:v>44.318894999999998</c:v>
                </c:pt>
                <c:pt idx="1">
                  <c:v>25.047080999999999</c:v>
                </c:pt>
                <c:pt idx="2">
                  <c:v>23.875288000000001</c:v>
                </c:pt>
                <c:pt idx="3">
                  <c:v>6.7587359999999999</c:v>
                </c:pt>
              </c:numCache>
            </c:numRef>
          </c:val>
          <c:extLst>
            <c:ext xmlns:c16="http://schemas.microsoft.com/office/drawing/2014/chart" uri="{C3380CC4-5D6E-409C-BE32-E72D297353CC}">
              <c16:uniqueId val="{00000000-9407-4984-BC38-8222DA3BD7D2}"/>
            </c:ext>
          </c:extLst>
        </c:ser>
        <c:dLbls>
          <c:dLblPos val="ctr"/>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6828003062117235"/>
          <c:y val="0.2487835374744824"/>
          <c:w val="0.27553302712160982"/>
          <c:h val="0.5763910761154855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b="0"/>
              <a:t>City-Level Restaurant Recovery Comparison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Data!$I$53</c:f>
              <c:strCache>
                <c:ptCount val="1"/>
                <c:pt idx="0">
                  <c:v>% of Restaurant</c:v>
                </c:pt>
              </c:strCache>
            </c:strRef>
          </c:tx>
          <c:dPt>
            <c:idx val="0"/>
            <c:bubble3D val="0"/>
            <c:spPr>
              <a:solidFill>
                <a:srgbClr val="00B050"/>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4757-4AB1-8C8D-02380F4E135A}"/>
              </c:ext>
            </c:extLst>
          </c:dPt>
          <c:dPt>
            <c:idx val="1"/>
            <c:bubble3D val="0"/>
            <c:spPr>
              <a:solidFill>
                <a:srgbClr val="C00000"/>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4757-4AB1-8C8D-02380F4E135A}"/>
              </c:ext>
            </c:extLst>
          </c:dPt>
          <c:dPt>
            <c:idx val="2"/>
            <c:bubble3D val="0"/>
            <c:spPr>
              <a:solidFill>
                <a:srgbClr val="FFC75F"/>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4757-4AB1-8C8D-02380F4E135A}"/>
              </c:ext>
            </c:extLst>
          </c:dPt>
          <c:dPt>
            <c:idx val="3"/>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4757-4AB1-8C8D-02380F4E135A}"/>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Data!$H$54:$H$57</c:f>
              <c:strCache>
                <c:ptCount val="4"/>
                <c:pt idx="0">
                  <c:v>Reactivated / New</c:v>
                </c:pt>
                <c:pt idx="1">
                  <c:v>Declining / At Risk</c:v>
                </c:pt>
                <c:pt idx="2">
                  <c:v>Strong Recovery</c:v>
                </c:pt>
                <c:pt idx="3">
                  <c:v>Moderate Recovery</c:v>
                </c:pt>
              </c:strCache>
            </c:strRef>
          </c:cat>
          <c:val>
            <c:numRef>
              <c:f>Data!$I$54:$I$57</c:f>
              <c:numCache>
                <c:formatCode>General</c:formatCode>
                <c:ptCount val="4"/>
                <c:pt idx="0">
                  <c:v>60.238238000000003</c:v>
                </c:pt>
                <c:pt idx="1">
                  <c:v>17.994277</c:v>
                </c:pt>
                <c:pt idx="2">
                  <c:v>14.839955</c:v>
                </c:pt>
                <c:pt idx="3">
                  <c:v>6.92753</c:v>
                </c:pt>
              </c:numCache>
            </c:numRef>
          </c:val>
          <c:extLst>
            <c:ext xmlns:c16="http://schemas.microsoft.com/office/drawing/2014/chart" uri="{C3380CC4-5D6E-409C-BE32-E72D297353CC}">
              <c16:uniqueId val="{00000000-4757-4AB1-8C8D-02380F4E135A}"/>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6828003062117235"/>
          <c:y val="0.2282163167104112"/>
          <c:w val="0.28386636045494312"/>
          <c:h val="0.5439836687080781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sla_met_pct  v/s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Data!$G$61</c:f>
              <c:strCache>
                <c:ptCount val="1"/>
                <c:pt idx="0">
                  <c:v>sla_met_pct</c:v>
                </c:pt>
              </c:strCache>
            </c:strRef>
          </c:tx>
          <c:spPr>
            <a:solidFill>
              <a:schemeClr val="accent1"/>
            </a:solidFill>
            <a:ln>
              <a:noFill/>
            </a:ln>
            <a:effectLst/>
            <a:sp3d/>
          </c:spPr>
          <c:invertIfNegative val="0"/>
          <c:dPt>
            <c:idx val="0"/>
            <c:invertIfNegative val="0"/>
            <c:bubble3D val="0"/>
            <c:spPr>
              <a:solidFill>
                <a:srgbClr val="9E480E"/>
              </a:solidFill>
              <a:ln>
                <a:noFill/>
              </a:ln>
              <a:effectLst/>
              <a:sp3d/>
            </c:spPr>
            <c:extLst>
              <c:ext xmlns:c16="http://schemas.microsoft.com/office/drawing/2014/chart" uri="{C3380CC4-5D6E-409C-BE32-E72D297353CC}">
                <c16:uniqueId val="{00000003-58C0-48A7-A5C4-24C451A265F3}"/>
              </c:ext>
            </c:extLst>
          </c:dPt>
          <c:dPt>
            <c:idx val="1"/>
            <c:invertIfNegative val="0"/>
            <c:bubble3D val="0"/>
            <c:spPr>
              <a:solidFill>
                <a:srgbClr val="264478"/>
              </a:solidFill>
              <a:ln>
                <a:noFill/>
              </a:ln>
              <a:effectLst/>
              <a:sp3d/>
            </c:spPr>
            <c:extLst>
              <c:ext xmlns:c16="http://schemas.microsoft.com/office/drawing/2014/chart" uri="{C3380CC4-5D6E-409C-BE32-E72D297353CC}">
                <c16:uniqueId val="{00000004-58C0-48A7-A5C4-24C451A265F3}"/>
              </c:ext>
            </c:extLst>
          </c:dPt>
          <c:dPt>
            <c:idx val="2"/>
            <c:invertIfNegative val="0"/>
            <c:bubble3D val="0"/>
            <c:spPr>
              <a:solidFill>
                <a:srgbClr val="6BCB77"/>
              </a:solidFill>
              <a:ln>
                <a:noFill/>
              </a:ln>
              <a:effectLst/>
              <a:sp3d/>
            </c:spPr>
            <c:extLst>
              <c:ext xmlns:c16="http://schemas.microsoft.com/office/drawing/2014/chart" uri="{C3380CC4-5D6E-409C-BE32-E72D297353CC}">
                <c16:uniqueId val="{00000008-58C0-48A7-A5C4-24C451A265F3}"/>
              </c:ext>
            </c:extLst>
          </c:dPt>
          <c:dPt>
            <c:idx val="3"/>
            <c:invertIfNegative val="0"/>
            <c:bubble3D val="0"/>
            <c:spPr>
              <a:solidFill>
                <a:srgbClr val="0081CF"/>
              </a:solidFill>
              <a:ln>
                <a:noFill/>
              </a:ln>
              <a:effectLst/>
              <a:sp3d/>
            </c:spPr>
            <c:extLst>
              <c:ext xmlns:c16="http://schemas.microsoft.com/office/drawing/2014/chart" uri="{C3380CC4-5D6E-409C-BE32-E72D297353CC}">
                <c16:uniqueId val="{0000000A-58C0-48A7-A5C4-24C451A265F3}"/>
              </c:ext>
            </c:extLst>
          </c:dPt>
          <c:dPt>
            <c:idx val="4"/>
            <c:invertIfNegative val="0"/>
            <c:bubble3D val="0"/>
            <c:spPr>
              <a:solidFill>
                <a:srgbClr val="FFC000"/>
              </a:solidFill>
              <a:ln>
                <a:noFill/>
              </a:ln>
              <a:effectLst/>
              <a:sp3d/>
            </c:spPr>
            <c:extLst>
              <c:ext xmlns:c16="http://schemas.microsoft.com/office/drawing/2014/chart" uri="{C3380CC4-5D6E-409C-BE32-E72D297353CC}">
                <c16:uniqueId val="{00000007-58C0-48A7-A5C4-24C451A265F3}"/>
              </c:ext>
            </c:extLst>
          </c:dPt>
          <c:dPt>
            <c:idx val="5"/>
            <c:invertIfNegative val="0"/>
            <c:bubble3D val="0"/>
            <c:spPr>
              <a:solidFill>
                <a:srgbClr val="FF6B6B"/>
              </a:solidFill>
              <a:ln>
                <a:noFill/>
              </a:ln>
              <a:effectLst/>
              <a:sp3d/>
            </c:spPr>
            <c:extLst>
              <c:ext xmlns:c16="http://schemas.microsoft.com/office/drawing/2014/chart" uri="{C3380CC4-5D6E-409C-BE32-E72D297353CC}">
                <c16:uniqueId val="{00000005-58C0-48A7-A5C4-24C451A265F3}"/>
              </c:ext>
            </c:extLst>
          </c:dPt>
          <c:dPt>
            <c:idx val="6"/>
            <c:invertIfNegative val="0"/>
            <c:bubble3D val="0"/>
            <c:spPr>
              <a:solidFill>
                <a:srgbClr val="ED7D31"/>
              </a:solidFill>
              <a:ln>
                <a:noFill/>
              </a:ln>
              <a:effectLst/>
              <a:sp3d/>
            </c:spPr>
            <c:extLst>
              <c:ext xmlns:c16="http://schemas.microsoft.com/office/drawing/2014/chart" uri="{C3380CC4-5D6E-409C-BE32-E72D297353CC}">
                <c16:uniqueId val="{00000009-58C0-48A7-A5C4-24C451A265F3}"/>
              </c:ext>
            </c:extLst>
          </c:dPt>
          <c:dPt>
            <c:idx val="7"/>
            <c:invertIfNegative val="0"/>
            <c:bubble3D val="0"/>
            <c:spPr>
              <a:solidFill>
                <a:srgbClr val="845EC2"/>
              </a:solidFill>
              <a:ln>
                <a:noFill/>
              </a:ln>
              <a:effectLst/>
              <a:sp3d/>
            </c:spPr>
            <c:extLst>
              <c:ext xmlns:c16="http://schemas.microsoft.com/office/drawing/2014/chart" uri="{C3380CC4-5D6E-409C-BE32-E72D297353CC}">
                <c16:uniqueId val="{00000006-58C0-48A7-A5C4-24C451A265F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Data!$E$62:$E$69</c:f>
              <c:strCache>
                <c:ptCount val="8"/>
                <c:pt idx="0">
                  <c:v>Pune</c:v>
                </c:pt>
                <c:pt idx="1">
                  <c:v>Ahmedabad</c:v>
                </c:pt>
                <c:pt idx="2">
                  <c:v>Delhi</c:v>
                </c:pt>
                <c:pt idx="3">
                  <c:v>Bengaluru</c:v>
                </c:pt>
                <c:pt idx="4">
                  <c:v>Hyderabad</c:v>
                </c:pt>
                <c:pt idx="5">
                  <c:v>Kolkata</c:v>
                </c:pt>
                <c:pt idx="6">
                  <c:v>Mumbai</c:v>
                </c:pt>
                <c:pt idx="7">
                  <c:v>Chennai</c:v>
                </c:pt>
              </c:strCache>
            </c:strRef>
          </c:cat>
          <c:val>
            <c:numRef>
              <c:f>Data!$G$62:$G$69</c:f>
              <c:numCache>
                <c:formatCode>0.00</c:formatCode>
                <c:ptCount val="8"/>
                <c:pt idx="0">
                  <c:v>35.849057000000002</c:v>
                </c:pt>
                <c:pt idx="1">
                  <c:v>35.987234000000001</c:v>
                </c:pt>
                <c:pt idx="2">
                  <c:v>36.225731000000003</c:v>
                </c:pt>
                <c:pt idx="3">
                  <c:v>36.504254000000003</c:v>
                </c:pt>
                <c:pt idx="4">
                  <c:v>36.608702000000001</c:v>
                </c:pt>
                <c:pt idx="5">
                  <c:v>36.599490000000003</c:v>
                </c:pt>
                <c:pt idx="6">
                  <c:v>36.317430000000002</c:v>
                </c:pt>
                <c:pt idx="7">
                  <c:v>37.137208000000001</c:v>
                </c:pt>
              </c:numCache>
            </c:numRef>
          </c:val>
          <c:extLst>
            <c:ext xmlns:c16="http://schemas.microsoft.com/office/drawing/2014/chart" uri="{C3380CC4-5D6E-409C-BE32-E72D297353CC}">
              <c16:uniqueId val="{00000001-58C0-48A7-A5C4-24C451A265F3}"/>
            </c:ext>
          </c:extLst>
        </c:ser>
        <c:dLbls>
          <c:showLegendKey val="0"/>
          <c:showVal val="1"/>
          <c:showCatName val="0"/>
          <c:showSerName val="0"/>
          <c:showPercent val="0"/>
          <c:showBubbleSize val="0"/>
        </c:dLbls>
        <c:gapWidth val="150"/>
        <c:shape val="box"/>
        <c:axId val="1640776464"/>
        <c:axId val="1640778864"/>
        <c:axId val="0"/>
      </c:bar3DChart>
      <c:catAx>
        <c:axId val="16407764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0">
                    <a:latin typeface="Arial Black" panose="020B0A04020102020204" pitchFamily="34" charset="0"/>
                  </a:rPr>
                  <a:t>City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0778864"/>
        <c:crosses val="autoZero"/>
        <c:auto val="1"/>
        <c:lblAlgn val="ctr"/>
        <c:lblOffset val="100"/>
        <c:noMultiLvlLbl val="0"/>
      </c:catAx>
      <c:valAx>
        <c:axId val="16407788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latin typeface="Arial Black" panose="020B0A04020102020204" pitchFamily="34" charset="0"/>
                  </a:rPr>
                  <a:t>sla_met_pct</a:t>
                </a:r>
              </a:p>
            </c:rich>
          </c:tx>
          <c:layout>
            <c:manualLayout>
              <c:xMode val="edge"/>
              <c:yMode val="edge"/>
              <c:x val="3.4491663067234161E-2"/>
              <c:y val="0.275094150472833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07764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Data!$F$61</c:f>
              <c:strCache>
                <c:ptCount val="1"/>
                <c:pt idx="0">
                  <c:v>avg_delay</c:v>
                </c:pt>
              </c:strCache>
            </c:strRef>
          </c:tx>
          <c:spPr>
            <a:solidFill>
              <a:schemeClr val="accent1"/>
            </a:solidFill>
            <a:ln>
              <a:noFill/>
            </a:ln>
            <a:effectLst/>
            <a:sp3d/>
          </c:spPr>
          <c:invertIfNegative val="0"/>
          <c:dPt>
            <c:idx val="0"/>
            <c:invertIfNegative val="0"/>
            <c:bubble3D val="0"/>
            <c:spPr>
              <a:solidFill>
                <a:srgbClr val="9E480E"/>
              </a:solidFill>
              <a:ln>
                <a:noFill/>
              </a:ln>
              <a:effectLst/>
              <a:sp3d/>
            </c:spPr>
            <c:extLst>
              <c:ext xmlns:c16="http://schemas.microsoft.com/office/drawing/2014/chart" uri="{C3380CC4-5D6E-409C-BE32-E72D297353CC}">
                <c16:uniqueId val="{00000008-755E-46C5-901B-4F6C1F9055A3}"/>
              </c:ext>
            </c:extLst>
          </c:dPt>
          <c:dPt>
            <c:idx val="1"/>
            <c:invertIfNegative val="0"/>
            <c:bubble3D val="0"/>
            <c:spPr>
              <a:solidFill>
                <a:srgbClr val="264478"/>
              </a:solidFill>
              <a:ln>
                <a:noFill/>
              </a:ln>
              <a:effectLst/>
              <a:sp3d/>
            </c:spPr>
            <c:extLst>
              <c:ext xmlns:c16="http://schemas.microsoft.com/office/drawing/2014/chart" uri="{C3380CC4-5D6E-409C-BE32-E72D297353CC}">
                <c16:uniqueId val="{00000007-755E-46C5-901B-4F6C1F9055A3}"/>
              </c:ext>
            </c:extLst>
          </c:dPt>
          <c:dPt>
            <c:idx val="2"/>
            <c:invertIfNegative val="0"/>
            <c:bubble3D val="0"/>
            <c:spPr>
              <a:solidFill>
                <a:srgbClr val="6BCB77"/>
              </a:solidFill>
              <a:ln>
                <a:noFill/>
              </a:ln>
              <a:effectLst/>
              <a:sp3d/>
            </c:spPr>
            <c:extLst>
              <c:ext xmlns:c16="http://schemas.microsoft.com/office/drawing/2014/chart" uri="{C3380CC4-5D6E-409C-BE32-E72D297353CC}">
                <c16:uniqueId val="{00000006-755E-46C5-901B-4F6C1F9055A3}"/>
              </c:ext>
            </c:extLst>
          </c:dPt>
          <c:dPt>
            <c:idx val="3"/>
            <c:invertIfNegative val="0"/>
            <c:bubble3D val="0"/>
            <c:spPr>
              <a:solidFill>
                <a:srgbClr val="0081CF"/>
              </a:solidFill>
              <a:ln>
                <a:noFill/>
              </a:ln>
              <a:effectLst/>
              <a:sp3d/>
            </c:spPr>
            <c:extLst>
              <c:ext xmlns:c16="http://schemas.microsoft.com/office/drawing/2014/chart" uri="{C3380CC4-5D6E-409C-BE32-E72D297353CC}">
                <c16:uniqueId val="{00000005-755E-46C5-901B-4F6C1F9055A3}"/>
              </c:ext>
            </c:extLst>
          </c:dPt>
          <c:dPt>
            <c:idx val="4"/>
            <c:invertIfNegative val="0"/>
            <c:bubble3D val="0"/>
            <c:spPr>
              <a:solidFill>
                <a:srgbClr val="FFC000"/>
              </a:solidFill>
              <a:ln>
                <a:noFill/>
              </a:ln>
              <a:effectLst/>
              <a:sp3d/>
            </c:spPr>
            <c:extLst>
              <c:ext xmlns:c16="http://schemas.microsoft.com/office/drawing/2014/chart" uri="{C3380CC4-5D6E-409C-BE32-E72D297353CC}">
                <c16:uniqueId val="{00000004-755E-46C5-901B-4F6C1F9055A3}"/>
              </c:ext>
            </c:extLst>
          </c:dPt>
          <c:dPt>
            <c:idx val="5"/>
            <c:invertIfNegative val="0"/>
            <c:bubble3D val="0"/>
            <c:spPr>
              <a:solidFill>
                <a:srgbClr val="FF6B6B"/>
              </a:solidFill>
              <a:ln>
                <a:noFill/>
              </a:ln>
              <a:effectLst/>
              <a:sp3d/>
            </c:spPr>
            <c:extLst>
              <c:ext xmlns:c16="http://schemas.microsoft.com/office/drawing/2014/chart" uri="{C3380CC4-5D6E-409C-BE32-E72D297353CC}">
                <c16:uniqueId val="{00000003-755E-46C5-901B-4F6C1F9055A3}"/>
              </c:ext>
            </c:extLst>
          </c:dPt>
          <c:dPt>
            <c:idx val="6"/>
            <c:invertIfNegative val="0"/>
            <c:bubble3D val="0"/>
            <c:spPr>
              <a:solidFill>
                <a:srgbClr val="ED7D31"/>
              </a:solidFill>
              <a:ln>
                <a:noFill/>
              </a:ln>
              <a:effectLst/>
              <a:sp3d/>
            </c:spPr>
            <c:extLst>
              <c:ext xmlns:c16="http://schemas.microsoft.com/office/drawing/2014/chart" uri="{C3380CC4-5D6E-409C-BE32-E72D297353CC}">
                <c16:uniqueId val="{00000002-755E-46C5-901B-4F6C1F9055A3}"/>
              </c:ext>
            </c:extLst>
          </c:dPt>
          <c:dPt>
            <c:idx val="7"/>
            <c:invertIfNegative val="0"/>
            <c:bubble3D val="0"/>
            <c:spPr>
              <a:solidFill>
                <a:srgbClr val="845EC2"/>
              </a:solidFill>
              <a:ln>
                <a:noFill/>
              </a:ln>
              <a:effectLst/>
              <a:sp3d/>
            </c:spPr>
            <c:extLst>
              <c:ext xmlns:c16="http://schemas.microsoft.com/office/drawing/2014/chart" uri="{C3380CC4-5D6E-409C-BE32-E72D297353CC}">
                <c16:uniqueId val="{00000001-755E-46C5-901B-4F6C1F9055A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Data!$E$62:$E$69</c:f>
              <c:strCache>
                <c:ptCount val="8"/>
                <c:pt idx="0">
                  <c:v>Pune</c:v>
                </c:pt>
                <c:pt idx="1">
                  <c:v>Ahmedabad</c:v>
                </c:pt>
                <c:pt idx="2">
                  <c:v>Delhi</c:v>
                </c:pt>
                <c:pt idx="3">
                  <c:v>Bengaluru</c:v>
                </c:pt>
                <c:pt idx="4">
                  <c:v>Hyderabad</c:v>
                </c:pt>
                <c:pt idx="5">
                  <c:v>Kolkata</c:v>
                </c:pt>
                <c:pt idx="6">
                  <c:v>Mumbai</c:v>
                </c:pt>
                <c:pt idx="7">
                  <c:v>Chennai</c:v>
                </c:pt>
              </c:strCache>
            </c:strRef>
          </c:cat>
          <c:val>
            <c:numRef>
              <c:f>Data!$F$62:$F$69</c:f>
              <c:numCache>
                <c:formatCode>General</c:formatCode>
                <c:ptCount val="8"/>
                <c:pt idx="0">
                  <c:v>5.7611829999999999</c:v>
                </c:pt>
                <c:pt idx="1">
                  <c:v>5.7223319999999998</c:v>
                </c:pt>
                <c:pt idx="2">
                  <c:v>5.6366459999999998</c:v>
                </c:pt>
                <c:pt idx="3">
                  <c:v>5.5797309999999998</c:v>
                </c:pt>
                <c:pt idx="4">
                  <c:v>5.5656119999999998</c:v>
                </c:pt>
                <c:pt idx="5">
                  <c:v>5.5602660000000004</c:v>
                </c:pt>
                <c:pt idx="6">
                  <c:v>5.5391029999999999</c:v>
                </c:pt>
                <c:pt idx="7">
                  <c:v>5.4117649999999999</c:v>
                </c:pt>
              </c:numCache>
            </c:numRef>
          </c:val>
          <c:extLst>
            <c:ext xmlns:c16="http://schemas.microsoft.com/office/drawing/2014/chart" uri="{C3380CC4-5D6E-409C-BE32-E72D297353CC}">
              <c16:uniqueId val="{00000000-755E-46C5-901B-4F6C1F9055A3}"/>
            </c:ext>
          </c:extLst>
        </c:ser>
        <c:dLbls>
          <c:showLegendKey val="0"/>
          <c:showVal val="1"/>
          <c:showCatName val="0"/>
          <c:showSerName val="0"/>
          <c:showPercent val="0"/>
          <c:showBubbleSize val="0"/>
        </c:dLbls>
        <c:gapWidth val="150"/>
        <c:shape val="box"/>
        <c:axId val="1630210496"/>
        <c:axId val="1630211456"/>
        <c:axId val="0"/>
      </c:bar3DChart>
      <c:catAx>
        <c:axId val="16302104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latin typeface="Arial Black" panose="020B0A04020102020204" pitchFamily="34" charset="0"/>
                  </a:rPr>
                  <a:t>City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211456"/>
        <c:crosses val="autoZero"/>
        <c:auto val="1"/>
        <c:lblAlgn val="ctr"/>
        <c:lblOffset val="100"/>
        <c:noMultiLvlLbl val="0"/>
      </c:catAx>
      <c:valAx>
        <c:axId val="16302114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latin typeface="Arial Black" panose="020B0A04020102020204" pitchFamily="34" charset="0"/>
                  </a:rPr>
                  <a:t>avg_delay</a:t>
                </a:r>
              </a:p>
            </c:rich>
          </c:tx>
          <c:layout>
            <c:manualLayout>
              <c:xMode val="edge"/>
              <c:yMode val="edge"/>
              <c:x val="4.400721784776903E-2"/>
              <c:y val="0.2966149023038786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210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avg_rating v/s Phase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252537182852142"/>
          <c:y val="0.17171296296296298"/>
          <c:w val="0.8513635170603675"/>
          <c:h val="0.61394320501603972"/>
        </c:manualLayout>
      </c:layout>
      <c:bar3DChart>
        <c:barDir val="col"/>
        <c:grouping val="clustered"/>
        <c:varyColors val="0"/>
        <c:ser>
          <c:idx val="0"/>
          <c:order val="0"/>
          <c:tx>
            <c:strRef>
              <c:f>Data!$N$62</c:f>
              <c:strCache>
                <c:ptCount val="1"/>
                <c:pt idx="0">
                  <c:v>avg_rating</c:v>
                </c:pt>
              </c:strCache>
            </c:strRef>
          </c:tx>
          <c:spPr>
            <a:solidFill>
              <a:schemeClr val="accent1"/>
            </a:solidFill>
            <a:ln>
              <a:noFill/>
            </a:ln>
            <a:effectLst/>
            <a:sp3d/>
          </c:spPr>
          <c:invertIfNegative val="0"/>
          <c:dPt>
            <c:idx val="0"/>
            <c:invertIfNegative val="0"/>
            <c:bubble3D val="0"/>
            <c:spPr>
              <a:solidFill>
                <a:srgbClr val="C00000"/>
              </a:solidFill>
              <a:ln>
                <a:noFill/>
              </a:ln>
              <a:effectLst/>
              <a:sp3d/>
            </c:spPr>
            <c:extLst>
              <c:ext xmlns:c16="http://schemas.microsoft.com/office/drawing/2014/chart" uri="{C3380CC4-5D6E-409C-BE32-E72D297353CC}">
                <c16:uniqueId val="{00000002-C421-47EC-AE76-AC63F138335E}"/>
              </c:ext>
            </c:extLst>
          </c:dPt>
          <c:dPt>
            <c:idx val="2"/>
            <c:invertIfNegative val="0"/>
            <c:bubble3D val="0"/>
            <c:spPr>
              <a:solidFill>
                <a:srgbClr val="00B050"/>
              </a:solidFill>
              <a:ln>
                <a:noFill/>
              </a:ln>
              <a:effectLst/>
              <a:sp3d/>
            </c:spPr>
            <c:extLst>
              <c:ext xmlns:c16="http://schemas.microsoft.com/office/drawing/2014/chart" uri="{C3380CC4-5D6E-409C-BE32-E72D297353CC}">
                <c16:uniqueId val="{00000001-C421-47EC-AE76-AC63F138335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Data!$M$63:$M$65</c:f>
              <c:strCache>
                <c:ptCount val="3"/>
                <c:pt idx="0">
                  <c:v>crisis</c:v>
                </c:pt>
                <c:pt idx="1">
                  <c:v>post-crisis</c:v>
                </c:pt>
                <c:pt idx="2">
                  <c:v>pre-crisis</c:v>
                </c:pt>
              </c:strCache>
            </c:strRef>
          </c:cat>
          <c:val>
            <c:numRef>
              <c:f>Data!$N$63:$N$65</c:f>
              <c:numCache>
                <c:formatCode>0.00</c:formatCode>
                <c:ptCount val="3"/>
                <c:pt idx="0">
                  <c:v>2.5857860000000001</c:v>
                </c:pt>
                <c:pt idx="1">
                  <c:v>2.4679690000000001</c:v>
                </c:pt>
                <c:pt idx="2">
                  <c:v>4.5037409999999998</c:v>
                </c:pt>
              </c:numCache>
            </c:numRef>
          </c:val>
          <c:extLst>
            <c:ext xmlns:c16="http://schemas.microsoft.com/office/drawing/2014/chart" uri="{C3380CC4-5D6E-409C-BE32-E72D297353CC}">
              <c16:uniqueId val="{00000000-C421-47EC-AE76-AC63F138335E}"/>
            </c:ext>
          </c:extLst>
        </c:ser>
        <c:dLbls>
          <c:showLegendKey val="0"/>
          <c:showVal val="1"/>
          <c:showCatName val="0"/>
          <c:showSerName val="0"/>
          <c:showPercent val="0"/>
          <c:showBubbleSize val="0"/>
        </c:dLbls>
        <c:gapWidth val="150"/>
        <c:shape val="box"/>
        <c:axId val="2134792896"/>
        <c:axId val="2134807776"/>
        <c:axId val="0"/>
      </c:bar3DChart>
      <c:catAx>
        <c:axId val="2134792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latin typeface="Arial Black" panose="020B0A04020102020204" pitchFamily="34" charset="0"/>
                  </a:rPr>
                  <a:t>Phase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807776"/>
        <c:crosses val="autoZero"/>
        <c:auto val="1"/>
        <c:lblAlgn val="ctr"/>
        <c:lblOffset val="100"/>
        <c:noMultiLvlLbl val="0"/>
      </c:catAx>
      <c:valAx>
        <c:axId val="21348077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latin typeface="Arial Black" panose="020B0A04020102020204" pitchFamily="34" charset="0"/>
                  </a:rPr>
                  <a:t>avg_rating</a:t>
                </a:r>
              </a:p>
            </c:rich>
          </c:tx>
          <c:layout>
            <c:manualLayout>
              <c:xMode val="edge"/>
              <c:yMode val="edge"/>
              <c:x val="3.2767060367454068E-2"/>
              <c:y val="0.3851888305628463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792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avg_sentiment v/s Phase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Data!$O$62</c:f>
              <c:strCache>
                <c:ptCount val="1"/>
                <c:pt idx="0">
                  <c:v>avg_sentiment</c:v>
                </c:pt>
              </c:strCache>
            </c:strRef>
          </c:tx>
          <c:spPr>
            <a:solidFill>
              <a:schemeClr val="accent1"/>
            </a:solidFill>
            <a:ln>
              <a:noFill/>
            </a:ln>
            <a:effectLst/>
            <a:sp3d/>
          </c:spPr>
          <c:invertIfNegative val="0"/>
          <c:dPt>
            <c:idx val="0"/>
            <c:invertIfNegative val="0"/>
            <c:bubble3D val="0"/>
            <c:spPr>
              <a:solidFill>
                <a:srgbClr val="C00000"/>
              </a:solidFill>
              <a:ln>
                <a:noFill/>
              </a:ln>
              <a:effectLst/>
              <a:sp3d/>
            </c:spPr>
            <c:extLst>
              <c:ext xmlns:c16="http://schemas.microsoft.com/office/drawing/2014/chart" uri="{C3380CC4-5D6E-409C-BE32-E72D297353CC}">
                <c16:uniqueId val="{00000001-4B59-467A-9DC8-2C858EDDC105}"/>
              </c:ext>
            </c:extLst>
          </c:dPt>
          <c:dPt>
            <c:idx val="2"/>
            <c:invertIfNegative val="0"/>
            <c:bubble3D val="0"/>
            <c:spPr>
              <a:solidFill>
                <a:srgbClr val="00B050"/>
              </a:solidFill>
              <a:ln>
                <a:noFill/>
              </a:ln>
              <a:effectLst/>
              <a:sp3d/>
            </c:spPr>
            <c:extLst>
              <c:ext xmlns:c16="http://schemas.microsoft.com/office/drawing/2014/chart" uri="{C3380CC4-5D6E-409C-BE32-E72D297353CC}">
                <c16:uniqueId val="{00000002-4B59-467A-9DC8-2C858EDDC105}"/>
              </c:ext>
            </c:extLst>
          </c:dPt>
          <c:cat>
            <c:strRef>
              <c:f>Data!$M$63:$M$65</c:f>
              <c:strCache>
                <c:ptCount val="3"/>
                <c:pt idx="0">
                  <c:v>crisis</c:v>
                </c:pt>
                <c:pt idx="1">
                  <c:v>post-crisis</c:v>
                </c:pt>
                <c:pt idx="2">
                  <c:v>pre-crisis</c:v>
                </c:pt>
              </c:strCache>
            </c:strRef>
          </c:cat>
          <c:val>
            <c:numRef>
              <c:f>Data!$O$63:$O$65</c:f>
              <c:numCache>
                <c:formatCode>0.00</c:formatCode>
                <c:ptCount val="3"/>
                <c:pt idx="0">
                  <c:v>-0.20710700000000001</c:v>
                </c:pt>
                <c:pt idx="1">
                  <c:v>-0.266015</c:v>
                </c:pt>
                <c:pt idx="2">
                  <c:v>0.75187000000000004</c:v>
                </c:pt>
              </c:numCache>
            </c:numRef>
          </c:val>
          <c:extLst>
            <c:ext xmlns:c16="http://schemas.microsoft.com/office/drawing/2014/chart" uri="{C3380CC4-5D6E-409C-BE32-E72D297353CC}">
              <c16:uniqueId val="{00000000-4B59-467A-9DC8-2C858EDDC105}"/>
            </c:ext>
          </c:extLst>
        </c:ser>
        <c:dLbls>
          <c:showLegendKey val="0"/>
          <c:showVal val="0"/>
          <c:showCatName val="0"/>
          <c:showSerName val="0"/>
          <c:showPercent val="0"/>
          <c:showBubbleSize val="0"/>
        </c:dLbls>
        <c:gapWidth val="150"/>
        <c:shape val="box"/>
        <c:axId val="2134874976"/>
        <c:axId val="2134895136"/>
        <c:axId val="0"/>
      </c:bar3DChart>
      <c:catAx>
        <c:axId val="2134874976"/>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latin typeface="Arial Black" panose="020B0A04020102020204" pitchFamily="34" charset="0"/>
                  </a:rPr>
                  <a:t>Phase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2134895136"/>
        <c:crosses val="autoZero"/>
        <c:auto val="1"/>
        <c:lblAlgn val="ctr"/>
        <c:lblOffset val="100"/>
        <c:noMultiLvlLbl val="0"/>
      </c:catAx>
      <c:valAx>
        <c:axId val="21348951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latin typeface="Arial Black" panose="020B0A04020102020204" pitchFamily="34" charset="0"/>
                  </a:rPr>
                  <a:t>avg_sentiment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874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26" Type="http://schemas.openxmlformats.org/officeDocument/2006/relationships/chart" Target="../charts/chart26.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5" Type="http://schemas.openxmlformats.org/officeDocument/2006/relationships/chart" Target="../charts/chart25.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chart" Target="../charts/chart24.xml"/><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chart" Target="../charts/chart23.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 Id="rId27" Type="http://schemas.openxmlformats.org/officeDocument/2006/relationships/chart" Target="../charts/chart27.xml"/></Relationships>
</file>

<file path=xl/drawings/drawing1.xml><?xml version="1.0" encoding="utf-8"?>
<xdr:wsDr xmlns:xdr="http://schemas.openxmlformats.org/drawingml/2006/spreadsheetDrawing" xmlns:a="http://schemas.openxmlformats.org/drawingml/2006/main">
  <xdr:oneCellAnchor>
    <xdr:from>
      <xdr:col>4</xdr:col>
      <xdr:colOff>530943</xdr:colOff>
      <xdr:row>0</xdr:row>
      <xdr:rowOff>0</xdr:rowOff>
    </xdr:from>
    <xdr:ext cx="8767914" cy="937629"/>
    <xdr:sp macro="" textlink="">
      <xdr:nvSpPr>
        <xdr:cNvPr id="4" name="Rectangle 3">
          <a:extLst>
            <a:ext uri="{FF2B5EF4-FFF2-40B4-BE49-F238E27FC236}">
              <a16:creationId xmlns:a16="http://schemas.microsoft.com/office/drawing/2014/main" id="{6B6DC3C6-9FDB-4DE0-F424-435DF54085A6}"/>
            </a:ext>
          </a:extLst>
        </xdr:cNvPr>
        <xdr:cNvSpPr/>
      </xdr:nvSpPr>
      <xdr:spPr>
        <a:xfrm>
          <a:off x="2969343" y="0"/>
          <a:ext cx="8767914" cy="937629"/>
        </a:xfrm>
        <a:prstGeom prst="rect">
          <a:avLst/>
        </a:prstGeom>
        <a:noFill/>
      </xdr:spPr>
      <xdr:txBody>
        <a:bodyPr wrap="none" lIns="91440" tIns="45720" rIns="91440" bIns="45720">
          <a:spAutoFit/>
        </a:bodyPr>
        <a:lstStyle/>
        <a:p>
          <a:pPr algn="ctr"/>
          <a:r>
            <a:rPr lang="en-IN" sz="54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rPr>
            <a:t>Data for</a:t>
          </a:r>
          <a:r>
            <a:rPr lang="en-IN" sz="5400" b="1" cap="none" spc="0" baseline="0">
              <a:ln w="13462">
                <a:solidFill>
                  <a:schemeClr val="bg1"/>
                </a:solidFill>
                <a:prstDash val="solid"/>
              </a:ln>
              <a:solidFill>
                <a:schemeClr val="tx1">
                  <a:lumMod val="85000"/>
                  <a:lumOff val="15000"/>
                </a:schemeClr>
              </a:solidFill>
              <a:effectLst>
                <a:outerShdw dist="38100" dir="2700000" algn="bl" rotWithShape="0">
                  <a:schemeClr val="accent5"/>
                </a:outerShdw>
              </a:effectLst>
            </a:rPr>
            <a:t> QuickBite Dashboard</a:t>
          </a:r>
          <a:endParaRPr lang="en-IN" sz="54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endParaRPr>
        </a:p>
      </xdr:txBody>
    </xdr:sp>
    <xdr:clientData/>
  </xdr:oneCellAnchor>
  <xdr:oneCellAnchor>
    <xdr:from>
      <xdr:col>0</xdr:col>
      <xdr:colOff>0</xdr:colOff>
      <xdr:row>3</xdr:row>
      <xdr:rowOff>129540</xdr:rowOff>
    </xdr:from>
    <xdr:ext cx="1690206" cy="264560"/>
    <xdr:sp macro="" textlink="">
      <xdr:nvSpPr>
        <xdr:cNvPr id="5" name="TextBox 4">
          <a:extLst>
            <a:ext uri="{FF2B5EF4-FFF2-40B4-BE49-F238E27FC236}">
              <a16:creationId xmlns:a16="http://schemas.microsoft.com/office/drawing/2014/main" id="{9FC9CD2C-64E4-A372-D972-0D30D324948F}"/>
            </a:ext>
          </a:extLst>
        </xdr:cNvPr>
        <xdr:cNvSpPr txBox="1"/>
      </xdr:nvSpPr>
      <xdr:spPr>
        <a:xfrm>
          <a:off x="0" y="678180"/>
          <a:ext cx="16902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Customer</a:t>
          </a:r>
          <a:r>
            <a:rPr lang="en-IN" sz="1100" baseline="0"/>
            <a:t> order per phase</a:t>
          </a:r>
          <a:endParaRPr lang="en-IN"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298181</xdr:colOff>
      <xdr:row>10</xdr:row>
      <xdr:rowOff>133041</xdr:rowOff>
    </xdr:from>
    <xdr:to>
      <xdr:col>8</xdr:col>
      <xdr:colOff>0</xdr:colOff>
      <xdr:row>25</xdr:row>
      <xdr:rowOff>123151</xdr:rowOff>
    </xdr:to>
    <xdr:graphicFrame macro="">
      <xdr:nvGraphicFramePr>
        <xdr:cNvPr id="5" name="Chart 4">
          <a:extLst>
            <a:ext uri="{FF2B5EF4-FFF2-40B4-BE49-F238E27FC236}">
              <a16:creationId xmlns:a16="http://schemas.microsoft.com/office/drawing/2014/main" id="{AF1262A5-00EF-35B5-4FFC-EA513C73CF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98521</xdr:colOff>
      <xdr:row>10</xdr:row>
      <xdr:rowOff>123151</xdr:rowOff>
    </xdr:from>
    <xdr:to>
      <xdr:col>15</xdr:col>
      <xdr:colOff>369455</xdr:colOff>
      <xdr:row>25</xdr:row>
      <xdr:rowOff>130847</xdr:rowOff>
    </xdr:to>
    <xdr:graphicFrame macro="">
      <xdr:nvGraphicFramePr>
        <xdr:cNvPr id="6" name="Chart 5">
          <a:extLst>
            <a:ext uri="{FF2B5EF4-FFF2-40B4-BE49-F238E27FC236}">
              <a16:creationId xmlns:a16="http://schemas.microsoft.com/office/drawing/2014/main" id="{DCC31D19-53B2-B298-8EDB-318EC9EA93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443806</xdr:colOff>
      <xdr:row>10</xdr:row>
      <xdr:rowOff>115454</xdr:rowOff>
    </xdr:from>
    <xdr:to>
      <xdr:col>23</xdr:col>
      <xdr:colOff>207818</xdr:colOff>
      <xdr:row>25</xdr:row>
      <xdr:rowOff>130848</xdr:rowOff>
    </xdr:to>
    <xdr:graphicFrame macro="">
      <xdr:nvGraphicFramePr>
        <xdr:cNvPr id="7" name="Chart 6">
          <a:extLst>
            <a:ext uri="{FF2B5EF4-FFF2-40B4-BE49-F238E27FC236}">
              <a16:creationId xmlns:a16="http://schemas.microsoft.com/office/drawing/2014/main" id="{57271D2F-CDA4-A098-1E62-CC5F57493D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300180</xdr:colOff>
      <xdr:row>46</xdr:row>
      <xdr:rowOff>69272</xdr:rowOff>
    </xdr:from>
    <xdr:to>
      <xdr:col>7</xdr:col>
      <xdr:colOff>531091</xdr:colOff>
      <xdr:row>61</xdr:row>
      <xdr:rowOff>138545</xdr:rowOff>
    </xdr:to>
    <xdr:graphicFrame macro="">
      <xdr:nvGraphicFramePr>
        <xdr:cNvPr id="2" name="Chart 1">
          <a:extLst>
            <a:ext uri="{FF2B5EF4-FFF2-40B4-BE49-F238E27FC236}">
              <a16:creationId xmlns:a16="http://schemas.microsoft.com/office/drawing/2014/main" id="{7889388F-B954-8CEE-D699-8E2D9554A7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61576</xdr:colOff>
      <xdr:row>46</xdr:row>
      <xdr:rowOff>56186</xdr:rowOff>
    </xdr:from>
    <xdr:to>
      <xdr:col>15</xdr:col>
      <xdr:colOff>369455</xdr:colOff>
      <xdr:row>61</xdr:row>
      <xdr:rowOff>153939</xdr:rowOff>
    </xdr:to>
    <xdr:graphicFrame macro="">
      <xdr:nvGraphicFramePr>
        <xdr:cNvPr id="4" name="Chart 3">
          <a:extLst>
            <a:ext uri="{FF2B5EF4-FFF2-40B4-BE49-F238E27FC236}">
              <a16:creationId xmlns:a16="http://schemas.microsoft.com/office/drawing/2014/main" id="{F696A83A-8357-BA37-6EF6-A887B23054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484909</xdr:colOff>
      <xdr:row>46</xdr:row>
      <xdr:rowOff>40792</xdr:rowOff>
    </xdr:from>
    <xdr:to>
      <xdr:col>23</xdr:col>
      <xdr:colOff>207818</xdr:colOff>
      <xdr:row>61</xdr:row>
      <xdr:rowOff>130848</xdr:rowOff>
    </xdr:to>
    <xdr:graphicFrame macro="">
      <xdr:nvGraphicFramePr>
        <xdr:cNvPr id="8" name="Chart 7">
          <a:extLst>
            <a:ext uri="{FF2B5EF4-FFF2-40B4-BE49-F238E27FC236}">
              <a16:creationId xmlns:a16="http://schemas.microsoft.com/office/drawing/2014/main" id="{15FD2A0D-EE7F-4FE0-AF9B-983F9418E8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198943</xdr:colOff>
      <xdr:row>70</xdr:row>
      <xdr:rowOff>101082</xdr:rowOff>
    </xdr:from>
    <xdr:to>
      <xdr:col>10</xdr:col>
      <xdr:colOff>77755</xdr:colOff>
      <xdr:row>87</xdr:row>
      <xdr:rowOff>31102</xdr:rowOff>
    </xdr:to>
    <xdr:graphicFrame macro="">
      <xdr:nvGraphicFramePr>
        <xdr:cNvPr id="10" name="Chart 9">
          <a:extLst>
            <a:ext uri="{FF2B5EF4-FFF2-40B4-BE49-F238E27FC236}">
              <a16:creationId xmlns:a16="http://schemas.microsoft.com/office/drawing/2014/main" id="{223F0CCF-2AA3-AF46-A7E0-44DA3FE2E2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594001</xdr:colOff>
      <xdr:row>70</xdr:row>
      <xdr:rowOff>55166</xdr:rowOff>
    </xdr:from>
    <xdr:to>
      <xdr:col>20</xdr:col>
      <xdr:colOff>427652</xdr:colOff>
      <xdr:row>86</xdr:row>
      <xdr:rowOff>147735</xdr:rowOff>
    </xdr:to>
    <xdr:graphicFrame macro="">
      <xdr:nvGraphicFramePr>
        <xdr:cNvPr id="11" name="Chart 10">
          <a:extLst>
            <a:ext uri="{FF2B5EF4-FFF2-40B4-BE49-F238E27FC236}">
              <a16:creationId xmlns:a16="http://schemas.microsoft.com/office/drawing/2014/main" id="{2953F183-439C-2144-413E-7534FDB6D7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297181</xdr:colOff>
      <xdr:row>27</xdr:row>
      <xdr:rowOff>154710</xdr:rowOff>
    </xdr:from>
    <xdr:to>
      <xdr:col>22</xdr:col>
      <xdr:colOff>541021</xdr:colOff>
      <xdr:row>41</xdr:row>
      <xdr:rowOff>175260</xdr:rowOff>
    </xdr:to>
    <xdr:sp macro="" textlink="">
      <xdr:nvSpPr>
        <xdr:cNvPr id="12" name="TextBox 11">
          <a:extLst>
            <a:ext uri="{FF2B5EF4-FFF2-40B4-BE49-F238E27FC236}">
              <a16:creationId xmlns:a16="http://schemas.microsoft.com/office/drawing/2014/main" id="{6D73AB3D-B882-9CDA-6415-08E17B48BFEF}"/>
            </a:ext>
          </a:extLst>
        </xdr:cNvPr>
        <xdr:cNvSpPr txBox="1"/>
      </xdr:nvSpPr>
      <xdr:spPr>
        <a:xfrm>
          <a:off x="8831581" y="5092470"/>
          <a:ext cx="5120640" cy="25808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i="0">
              <a:solidFill>
                <a:schemeClr val="dk1"/>
              </a:solidFill>
              <a:effectLst/>
              <a:latin typeface="+mn-lt"/>
              <a:ea typeface="+mn-ea"/>
              <a:cs typeface="+mn-cs"/>
            </a:rPr>
            <a:t>1. </a:t>
          </a:r>
          <a:r>
            <a:rPr lang="en-IN" sz="1400" b="1" i="0">
              <a:solidFill>
                <a:schemeClr val="dk1"/>
              </a:solidFill>
              <a:effectLst/>
              <a:latin typeface="+mn-lt"/>
              <a:ea typeface="+mn-ea"/>
              <a:cs typeface="+mn-cs"/>
            </a:rPr>
            <a:t>Loyal</a:t>
          </a:r>
          <a:r>
            <a:rPr lang="en-IN" sz="1400" b="1" i="0" baseline="0">
              <a:solidFill>
                <a:schemeClr val="dk1"/>
              </a:solidFill>
              <a:effectLst/>
              <a:latin typeface="+mn-lt"/>
              <a:ea typeface="+mn-ea"/>
              <a:cs typeface="+mn-cs"/>
            </a:rPr>
            <a:t> Customer </a:t>
          </a:r>
          <a:r>
            <a:rPr lang="en-IN" sz="1400" b="0" i="0" baseline="0">
              <a:solidFill>
                <a:schemeClr val="dk1"/>
              </a:solidFill>
              <a:effectLst/>
              <a:latin typeface="+mn-lt"/>
              <a:ea typeface="+mn-ea"/>
              <a:cs typeface="+mn-cs"/>
            </a:rPr>
            <a:t>-&gt; </a:t>
          </a:r>
          <a:r>
            <a:rPr lang="en-IN" sz="1400" b="0" i="0">
              <a:solidFill>
                <a:schemeClr val="dk1"/>
              </a:solidFill>
              <a:effectLst/>
              <a:latin typeface="+mn-lt"/>
              <a:ea typeface="+mn-ea"/>
              <a:cs typeface="+mn-cs"/>
            </a:rPr>
            <a:t>Identify these loyal users and launch exclusive “Thank You” campaigns — rewards, early access, or personalized offers to retain advocacy.</a:t>
          </a:r>
        </a:p>
        <a:p>
          <a:r>
            <a:rPr lang="en-IN" sz="1400"/>
            <a:t>2. </a:t>
          </a:r>
          <a:r>
            <a:rPr lang="en-IN" sz="1400" b="1"/>
            <a:t>Lost Customer</a:t>
          </a:r>
          <a:r>
            <a:rPr lang="en-IN" sz="1400"/>
            <a:t> -&gt; </a:t>
          </a:r>
          <a:r>
            <a:rPr lang="en-IN" sz="1400" b="0" i="0">
              <a:solidFill>
                <a:schemeClr val="dk1"/>
              </a:solidFill>
              <a:effectLst/>
              <a:latin typeface="+mn-lt"/>
              <a:ea typeface="+mn-ea"/>
              <a:cs typeface="+mn-cs"/>
            </a:rPr>
            <a:t>Run re-engagement email/SMS campaigns targeting those who ordered during pre-crisis but went inactive, highlighting improved food safety and faster delivery.</a:t>
          </a:r>
        </a:p>
        <a:p>
          <a:r>
            <a:rPr lang="en-IN" sz="1400"/>
            <a:t>Send them personalized reactivation offers (“We miss you!” coupons).</a:t>
          </a:r>
          <a:endParaRPr lang="en-IN" sz="1400" b="0" i="0">
            <a:solidFill>
              <a:schemeClr val="dk1"/>
            </a:solidFill>
            <a:effectLst/>
            <a:latin typeface="+mn-lt"/>
            <a:ea typeface="+mn-ea"/>
            <a:cs typeface="+mn-cs"/>
          </a:endParaRPr>
        </a:p>
        <a:p>
          <a:r>
            <a:rPr lang="en-IN" sz="1400" b="0" i="0">
              <a:solidFill>
                <a:schemeClr val="dk1"/>
              </a:solidFill>
              <a:effectLst/>
              <a:latin typeface="+mn-lt"/>
              <a:ea typeface="+mn-ea"/>
              <a:cs typeface="+mn-cs"/>
            </a:rPr>
            <a:t>3. </a:t>
          </a:r>
          <a:r>
            <a:rPr lang="en-IN" sz="1400" b="1" i="0">
              <a:solidFill>
                <a:schemeClr val="dk1"/>
              </a:solidFill>
              <a:effectLst/>
              <a:latin typeface="+mn-lt"/>
              <a:ea typeface="+mn-ea"/>
              <a:cs typeface="+mn-cs"/>
            </a:rPr>
            <a:t>New Customer </a:t>
          </a:r>
          <a:r>
            <a:rPr lang="en-IN" sz="1400" b="0" i="0">
              <a:solidFill>
                <a:schemeClr val="dk1"/>
              </a:solidFill>
              <a:effectLst/>
              <a:latin typeface="+mn-lt"/>
              <a:ea typeface="+mn-ea"/>
              <a:cs typeface="+mn-cs"/>
            </a:rPr>
            <a:t>-&gt; Offer “Welcome Cashback” or first-order discounts, coupled with visible “Hygiene Certified Partner” badges to boost first-time confidence.</a:t>
          </a:r>
          <a:endParaRPr lang="en-IN" sz="1400"/>
        </a:p>
      </xdr:txBody>
    </xdr:sp>
    <xdr:clientData/>
  </xdr:twoCellAnchor>
  <xdr:twoCellAnchor>
    <xdr:from>
      <xdr:col>12</xdr:col>
      <xdr:colOff>269394</xdr:colOff>
      <xdr:row>19</xdr:row>
      <xdr:rowOff>84667</xdr:rowOff>
    </xdr:from>
    <xdr:to>
      <xdr:col>12</xdr:col>
      <xdr:colOff>315113</xdr:colOff>
      <xdr:row>19</xdr:row>
      <xdr:rowOff>130386</xdr:rowOff>
    </xdr:to>
    <xdr:sp macro="" textlink="">
      <xdr:nvSpPr>
        <xdr:cNvPr id="13" name="TextBox 12">
          <a:extLst>
            <a:ext uri="{FF2B5EF4-FFF2-40B4-BE49-F238E27FC236}">
              <a16:creationId xmlns:a16="http://schemas.microsoft.com/office/drawing/2014/main" id="{6D10F698-F5B6-A6F7-4CF5-0694BFFA216E}"/>
            </a:ext>
          </a:extLst>
        </xdr:cNvPr>
        <xdr:cNvSpPr txBox="1"/>
      </xdr:nvSpPr>
      <xdr:spPr>
        <a:xfrm>
          <a:off x="7566121" y="3594485"/>
          <a:ext cx="45719"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0</xdr:col>
      <xdr:colOff>227829</xdr:colOff>
      <xdr:row>27</xdr:row>
      <xdr:rowOff>70041</xdr:rowOff>
    </xdr:from>
    <xdr:to>
      <xdr:col>9</xdr:col>
      <xdr:colOff>477212</xdr:colOff>
      <xdr:row>32</xdr:row>
      <xdr:rowOff>130848</xdr:rowOff>
    </xdr:to>
    <xdr:sp macro="" textlink="">
      <xdr:nvSpPr>
        <xdr:cNvPr id="15" name="TextBox 14">
          <a:extLst>
            <a:ext uri="{FF2B5EF4-FFF2-40B4-BE49-F238E27FC236}">
              <a16:creationId xmlns:a16="http://schemas.microsoft.com/office/drawing/2014/main" id="{7EEB6B9A-AED8-043A-0431-746CC0F11BAA}"/>
            </a:ext>
          </a:extLst>
        </xdr:cNvPr>
        <xdr:cNvSpPr txBox="1"/>
      </xdr:nvSpPr>
      <xdr:spPr>
        <a:xfrm>
          <a:off x="227829" y="5057677"/>
          <a:ext cx="5721928" cy="9844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dk1"/>
              </a:solidFill>
              <a:effectLst/>
              <a:latin typeface="+mn-lt"/>
              <a:ea typeface="+mn-ea"/>
              <a:cs typeface="+mn-cs"/>
            </a:rPr>
            <a:t>Customer Order dropped significantly in crisis phase and recovered a</a:t>
          </a:r>
          <a:r>
            <a:rPr lang="en-IN" sz="1400" baseline="0">
              <a:solidFill>
                <a:schemeClr val="dk1"/>
              </a:solidFill>
              <a:effectLst/>
              <a:latin typeface="+mn-lt"/>
              <a:ea typeface="+mn-ea"/>
              <a:cs typeface="+mn-cs"/>
            </a:rPr>
            <a:t> little in post-crisis phase.</a:t>
          </a:r>
          <a:endParaRPr lang="en-IN" sz="1400">
            <a:effectLst/>
          </a:endParaRPr>
        </a:p>
        <a:p>
          <a:r>
            <a:rPr lang="en-IN" sz="1400" baseline="0">
              <a:solidFill>
                <a:schemeClr val="dk1"/>
              </a:solidFill>
              <a:effectLst/>
              <a:latin typeface="+mn-lt"/>
              <a:ea typeface="+mn-ea"/>
              <a:cs typeface="+mn-cs"/>
            </a:rPr>
            <a:t>pre-crisis = 70.34% dropped to 7.14% in crisis phase and in post-crisis phase it increased till 22.52% </a:t>
          </a:r>
          <a:endParaRPr lang="en-IN" sz="1400">
            <a:effectLst/>
          </a:endParaRPr>
        </a:p>
        <a:p>
          <a:endParaRPr lang="en-IN" sz="1100"/>
        </a:p>
      </xdr:txBody>
    </xdr:sp>
    <xdr:clientData/>
  </xdr:twoCellAnchor>
  <xdr:oneCellAnchor>
    <xdr:from>
      <xdr:col>10</xdr:col>
      <xdr:colOff>169333</xdr:colOff>
      <xdr:row>19</xdr:row>
      <xdr:rowOff>138546</xdr:rowOff>
    </xdr:from>
    <xdr:ext cx="184731" cy="264560"/>
    <xdr:sp macro="" textlink="">
      <xdr:nvSpPr>
        <xdr:cNvPr id="16" name="TextBox 15">
          <a:extLst>
            <a:ext uri="{FF2B5EF4-FFF2-40B4-BE49-F238E27FC236}">
              <a16:creationId xmlns:a16="http://schemas.microsoft.com/office/drawing/2014/main" id="{AC9D910B-E078-1743-7703-506147123793}"/>
            </a:ext>
          </a:extLst>
        </xdr:cNvPr>
        <xdr:cNvSpPr txBox="1"/>
      </xdr:nvSpPr>
      <xdr:spPr>
        <a:xfrm>
          <a:off x="6249939" y="364836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9</xdr:col>
      <xdr:colOff>566034</xdr:colOff>
      <xdr:row>29</xdr:row>
      <xdr:rowOff>846</xdr:rowOff>
    </xdr:from>
    <xdr:to>
      <xdr:col>13</xdr:col>
      <xdr:colOff>110373</xdr:colOff>
      <xdr:row>30</xdr:row>
      <xdr:rowOff>175261</xdr:rowOff>
    </xdr:to>
    <xdr:sp macro="" textlink="">
      <xdr:nvSpPr>
        <xdr:cNvPr id="17" name="TextBox 16">
          <a:extLst>
            <a:ext uri="{FF2B5EF4-FFF2-40B4-BE49-F238E27FC236}">
              <a16:creationId xmlns:a16="http://schemas.microsoft.com/office/drawing/2014/main" id="{EB911BEE-29DB-8CA8-56B3-04D4BA2E387A}"/>
            </a:ext>
          </a:extLst>
        </xdr:cNvPr>
        <xdr:cNvSpPr txBox="1"/>
      </xdr:nvSpPr>
      <xdr:spPr>
        <a:xfrm>
          <a:off x="6052434" y="5304366"/>
          <a:ext cx="1982739" cy="3572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Arial Black" panose="020B0A04020102020204" pitchFamily="34" charset="0"/>
            </a:rPr>
            <a:t>Recommendation</a:t>
          </a:r>
        </a:p>
      </xdr:txBody>
    </xdr:sp>
    <xdr:clientData/>
  </xdr:twoCellAnchor>
  <xdr:twoCellAnchor>
    <xdr:from>
      <xdr:col>13</xdr:col>
      <xdr:colOff>112143</xdr:colOff>
      <xdr:row>30</xdr:row>
      <xdr:rowOff>1770</xdr:rowOff>
    </xdr:from>
    <xdr:to>
      <xdr:col>14</xdr:col>
      <xdr:colOff>198350</xdr:colOff>
      <xdr:row>30</xdr:row>
      <xdr:rowOff>1770</xdr:rowOff>
    </xdr:to>
    <xdr:cxnSp macro="">
      <xdr:nvCxnSpPr>
        <xdr:cNvPr id="19" name="Straight Arrow Connector 18">
          <a:extLst>
            <a:ext uri="{FF2B5EF4-FFF2-40B4-BE49-F238E27FC236}">
              <a16:creationId xmlns:a16="http://schemas.microsoft.com/office/drawing/2014/main" id="{B5757448-A8E5-1803-A359-53C6C0AC0590}"/>
            </a:ext>
          </a:extLst>
        </xdr:cNvPr>
        <xdr:cNvCxnSpPr/>
      </xdr:nvCxnSpPr>
      <xdr:spPr>
        <a:xfrm>
          <a:off x="8036943" y="5488170"/>
          <a:ext cx="695807" cy="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oneCellAnchor>
    <xdr:from>
      <xdr:col>11</xdr:col>
      <xdr:colOff>377150</xdr:colOff>
      <xdr:row>11</xdr:row>
      <xdr:rowOff>35337</xdr:rowOff>
    </xdr:from>
    <xdr:ext cx="184730" cy="937629"/>
    <xdr:sp macro="" textlink="">
      <xdr:nvSpPr>
        <xdr:cNvPr id="23" name="Rectangle 22">
          <a:extLst>
            <a:ext uri="{FF2B5EF4-FFF2-40B4-BE49-F238E27FC236}">
              <a16:creationId xmlns:a16="http://schemas.microsoft.com/office/drawing/2014/main" id="{A99667F5-1F4F-E1BE-1FCB-74F7640F2298}"/>
            </a:ext>
          </a:extLst>
        </xdr:cNvPr>
        <xdr:cNvSpPr/>
      </xdr:nvSpPr>
      <xdr:spPr>
        <a:xfrm>
          <a:off x="7065817" y="2067337"/>
          <a:ext cx="184730" cy="937629"/>
        </a:xfrm>
        <a:prstGeom prst="rect">
          <a:avLst/>
        </a:prstGeom>
        <a:noFill/>
      </xdr:spPr>
      <xdr:txBody>
        <a:bodyPr wrap="none" lIns="91440" tIns="45720" rIns="91440" bIns="45720">
          <a:spAutoFit/>
        </a:bodyPr>
        <a:lstStyle/>
        <a:p>
          <a:pPr algn="ctr"/>
          <a:endParaRPr lang="en-IN"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0</xdr:col>
      <xdr:colOff>222699</xdr:colOff>
      <xdr:row>6</xdr:row>
      <xdr:rowOff>135397</xdr:rowOff>
    </xdr:from>
    <xdr:ext cx="6150391" cy="655885"/>
    <xdr:sp macro="" textlink="">
      <xdr:nvSpPr>
        <xdr:cNvPr id="24" name="Rectangle 23">
          <a:extLst>
            <a:ext uri="{FF2B5EF4-FFF2-40B4-BE49-F238E27FC236}">
              <a16:creationId xmlns:a16="http://schemas.microsoft.com/office/drawing/2014/main" id="{0C023DDD-7D54-6C2F-63B4-C6526FF3E85A}"/>
            </a:ext>
          </a:extLst>
        </xdr:cNvPr>
        <xdr:cNvSpPr/>
      </xdr:nvSpPr>
      <xdr:spPr>
        <a:xfrm>
          <a:off x="222699" y="1243761"/>
          <a:ext cx="6150391" cy="655885"/>
        </a:xfrm>
        <a:prstGeom prst="rect">
          <a:avLst/>
        </a:prstGeom>
        <a:noFill/>
      </xdr:spPr>
      <xdr:txBody>
        <a:bodyPr wrap="square" lIns="91440" tIns="45720" rIns="91440" bIns="45720">
          <a:spAutoFit/>
        </a:bodyPr>
        <a:lstStyle/>
        <a:p>
          <a:pPr algn="ctr"/>
          <a:r>
            <a:rPr lang="en-IN" sz="36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Crisis Impact &amp; Recovery Plan</a:t>
          </a:r>
        </a:p>
      </xdr:txBody>
    </xdr:sp>
    <xdr:clientData/>
  </xdr:oneCellAnchor>
  <xdr:oneCellAnchor>
    <xdr:from>
      <xdr:col>0</xdr:col>
      <xdr:colOff>351751</xdr:colOff>
      <xdr:row>0</xdr:row>
      <xdr:rowOff>0</xdr:rowOff>
    </xdr:from>
    <xdr:ext cx="13683055" cy="960391"/>
    <xdr:sp macro="" textlink="">
      <xdr:nvSpPr>
        <xdr:cNvPr id="25" name="Rectangle 24">
          <a:extLst>
            <a:ext uri="{FF2B5EF4-FFF2-40B4-BE49-F238E27FC236}">
              <a16:creationId xmlns:a16="http://schemas.microsoft.com/office/drawing/2014/main" id="{E7C433F5-3C1A-F748-832D-9F7A1302A464}"/>
            </a:ext>
          </a:extLst>
        </xdr:cNvPr>
        <xdr:cNvSpPr/>
      </xdr:nvSpPr>
      <xdr:spPr>
        <a:xfrm>
          <a:off x="351751" y="0"/>
          <a:ext cx="13683055" cy="960391"/>
        </a:xfrm>
        <a:prstGeom prst="rect">
          <a:avLst/>
        </a:prstGeom>
        <a:noFill/>
      </xdr:spPr>
      <xdr:txBody>
        <a:bodyPr wrap="square" lIns="91440" tIns="45720" rIns="91440" bIns="45720">
          <a:spAutoFit/>
        </a:bodyPr>
        <a:lstStyle/>
        <a:p>
          <a:pPr algn="ctr"/>
          <a:r>
            <a:rPr lang="en-IN" sz="48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Arial Black" panose="020B0A04020102020204" pitchFamily="34" charset="0"/>
            </a:rPr>
            <a:t>QuickBite</a:t>
          </a:r>
          <a:r>
            <a:rPr lang="en-IN" sz="4800" b="1" cap="none" spc="0" baseline="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Arial Black" panose="020B0A04020102020204" pitchFamily="34" charset="0"/>
            </a:rPr>
            <a:t> Crisis Recovery Dashboard</a:t>
          </a:r>
          <a:endParaRPr lang="en-IN" sz="48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endParaRPr>
        </a:p>
      </xdr:txBody>
    </xdr:sp>
    <xdr:clientData/>
  </xdr:oneCellAnchor>
  <xdr:twoCellAnchor>
    <xdr:from>
      <xdr:col>0</xdr:col>
      <xdr:colOff>297025</xdr:colOff>
      <xdr:row>62</xdr:row>
      <xdr:rowOff>75422</xdr:rowOff>
    </xdr:from>
    <xdr:to>
      <xdr:col>7</xdr:col>
      <xdr:colOff>505408</xdr:colOff>
      <xdr:row>67</xdr:row>
      <xdr:rowOff>1</xdr:rowOff>
    </xdr:to>
    <xdr:sp macro="" textlink="">
      <xdr:nvSpPr>
        <xdr:cNvPr id="18" name="TextBox 17">
          <a:extLst>
            <a:ext uri="{FF2B5EF4-FFF2-40B4-BE49-F238E27FC236}">
              <a16:creationId xmlns:a16="http://schemas.microsoft.com/office/drawing/2014/main" id="{7D860A71-0B59-100E-704B-7374EA3B5EE2}"/>
            </a:ext>
          </a:extLst>
        </xdr:cNvPr>
        <xdr:cNvSpPr txBox="1"/>
      </xdr:nvSpPr>
      <xdr:spPr>
        <a:xfrm>
          <a:off x="297025" y="11645381"/>
          <a:ext cx="4453812" cy="8576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a:solidFill>
                <a:schemeClr val="dk1"/>
              </a:solidFill>
              <a:effectLst/>
              <a:latin typeface="+mn-lt"/>
              <a:ea typeface="+mn-ea"/>
              <a:cs typeface="+mn-cs"/>
            </a:rPr>
            <a:t>Orders dropped by 92% during the crisis and recovered to 22% of pre-crisis levels in the post-crisis phase — signaling early recovery but a large gap to full turnaround.</a:t>
          </a:r>
          <a:endParaRPr lang="en-IN" sz="1400">
            <a:effectLst/>
          </a:endParaRPr>
        </a:p>
        <a:p>
          <a:endParaRPr lang="en-IN" sz="1400"/>
        </a:p>
      </xdr:txBody>
    </xdr:sp>
    <xdr:clientData/>
  </xdr:twoCellAnchor>
  <xdr:twoCellAnchor>
    <xdr:from>
      <xdr:col>8</xdr:col>
      <xdr:colOff>110411</xdr:colOff>
      <xdr:row>62</xdr:row>
      <xdr:rowOff>59871</xdr:rowOff>
    </xdr:from>
    <xdr:to>
      <xdr:col>15</xdr:col>
      <xdr:colOff>202163</xdr:colOff>
      <xdr:row>66</xdr:row>
      <xdr:rowOff>38878</xdr:rowOff>
    </xdr:to>
    <xdr:sp macro="" textlink="">
      <xdr:nvSpPr>
        <xdr:cNvPr id="21" name="TextBox 20">
          <a:extLst>
            <a:ext uri="{FF2B5EF4-FFF2-40B4-BE49-F238E27FC236}">
              <a16:creationId xmlns:a16="http://schemas.microsoft.com/office/drawing/2014/main" id="{EC6999B9-DE2A-BE2C-EF4B-206A0DADE666}"/>
            </a:ext>
          </a:extLst>
        </xdr:cNvPr>
        <xdr:cNvSpPr txBox="1"/>
      </xdr:nvSpPr>
      <xdr:spPr>
        <a:xfrm>
          <a:off x="4962329" y="11629830"/>
          <a:ext cx="4337181" cy="7254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Total revenue decreased from 37.6</a:t>
          </a:r>
          <a:r>
            <a:rPr lang="en-IN" sz="1400" baseline="0"/>
            <a:t> M to 2.8 M during crisis phase and in post-crisis phase it increased to 8.1M</a:t>
          </a:r>
          <a:endParaRPr lang="en-IN" sz="1400"/>
        </a:p>
      </xdr:txBody>
    </xdr:sp>
    <xdr:clientData/>
  </xdr:twoCellAnchor>
  <xdr:twoCellAnchor>
    <xdr:from>
      <xdr:col>15</xdr:col>
      <xdr:colOff>452533</xdr:colOff>
      <xdr:row>62</xdr:row>
      <xdr:rowOff>52095</xdr:rowOff>
    </xdr:from>
    <xdr:to>
      <xdr:col>23</xdr:col>
      <xdr:colOff>225490</xdr:colOff>
      <xdr:row>66</xdr:row>
      <xdr:rowOff>0</xdr:rowOff>
    </xdr:to>
    <xdr:sp macro="" textlink="">
      <xdr:nvSpPr>
        <xdr:cNvPr id="28" name="TextBox 27">
          <a:extLst>
            <a:ext uri="{FF2B5EF4-FFF2-40B4-BE49-F238E27FC236}">
              <a16:creationId xmlns:a16="http://schemas.microsoft.com/office/drawing/2014/main" id="{CA8EE7E7-8E35-7B4E-CAA3-E17D8F9D9401}"/>
            </a:ext>
          </a:extLst>
        </xdr:cNvPr>
        <xdr:cNvSpPr txBox="1"/>
      </xdr:nvSpPr>
      <xdr:spPr>
        <a:xfrm>
          <a:off x="9549880" y="11622054"/>
          <a:ext cx="4624875" cy="69435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Cash</a:t>
          </a:r>
          <a:r>
            <a:rPr lang="en-IN" sz="1400" baseline="0"/>
            <a:t> On delivery</a:t>
          </a:r>
          <a:r>
            <a:rPr lang="en-IN" sz="1400"/>
            <a:t> is almonst 35% and Online</a:t>
          </a:r>
          <a:r>
            <a:rPr lang="en-IN" sz="1400" baseline="0"/>
            <a:t> Payment</a:t>
          </a:r>
          <a:r>
            <a:rPr lang="en-IN" sz="1400"/>
            <a:t> is 65% across</a:t>
          </a:r>
          <a:r>
            <a:rPr lang="en-IN" sz="1400" baseline="0"/>
            <a:t> all phases.</a:t>
          </a:r>
          <a:endParaRPr lang="en-IN" sz="1400"/>
        </a:p>
      </xdr:txBody>
    </xdr:sp>
    <xdr:clientData/>
  </xdr:twoCellAnchor>
  <xdr:twoCellAnchor>
    <xdr:from>
      <xdr:col>4</xdr:col>
      <xdr:colOff>483633</xdr:colOff>
      <xdr:row>87</xdr:row>
      <xdr:rowOff>129850</xdr:rowOff>
    </xdr:from>
    <xdr:to>
      <xdr:col>16</xdr:col>
      <xdr:colOff>7774</xdr:colOff>
      <xdr:row>94</xdr:row>
      <xdr:rowOff>77756</xdr:rowOff>
    </xdr:to>
    <xdr:sp macro="" textlink="">
      <xdr:nvSpPr>
        <xdr:cNvPr id="29" name="TextBox 28">
          <a:extLst>
            <a:ext uri="{FF2B5EF4-FFF2-40B4-BE49-F238E27FC236}">
              <a16:creationId xmlns:a16="http://schemas.microsoft.com/office/drawing/2014/main" id="{1AA04EA6-5084-B103-6B75-670529EC529C}"/>
            </a:ext>
          </a:extLst>
        </xdr:cNvPr>
        <xdr:cNvSpPr txBox="1"/>
      </xdr:nvSpPr>
      <xdr:spPr>
        <a:xfrm>
          <a:off x="2909592" y="16365115"/>
          <a:ext cx="6802019" cy="125419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dk1"/>
              </a:solidFill>
              <a:effectLst/>
              <a:latin typeface="+mn-lt"/>
              <a:ea typeface="+mn-ea"/>
              <a:cs typeface="+mn-cs"/>
            </a:rPr>
            <a:t>Pre-crisis</a:t>
          </a:r>
          <a:r>
            <a:rPr lang="en-IN" sz="1400" b="0">
              <a:solidFill>
                <a:schemeClr val="dk1"/>
              </a:solidFill>
              <a:effectLst/>
              <a:latin typeface="+mn-lt"/>
              <a:ea typeface="+mn-ea"/>
              <a:cs typeface="+mn-cs"/>
            </a:rPr>
            <a:t>: Very low cancellations (1.7%) — operations were stable.</a:t>
          </a:r>
        </a:p>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chemeClr val="dk1"/>
              </a:solidFill>
              <a:effectLst/>
              <a:latin typeface="+mn-lt"/>
              <a:ea typeface="+mn-ea"/>
              <a:cs typeface="+mn-cs"/>
            </a:rPr>
            <a:t>Crisis</a:t>
          </a:r>
          <a:r>
            <a:rPr lang="en-IN" sz="1400" b="0">
              <a:solidFill>
                <a:schemeClr val="dk1"/>
              </a:solidFill>
              <a:effectLst/>
              <a:latin typeface="+mn-lt"/>
              <a:ea typeface="+mn-ea"/>
              <a:cs typeface="+mn-cs"/>
            </a:rPr>
            <a:t>: Cancellations increased to 3.3% (possibly due to delivery issues or food safety concerns).</a:t>
          </a:r>
        </a:p>
        <a:p>
          <a:r>
            <a:rPr lang="en-IN" sz="1400" b="1">
              <a:solidFill>
                <a:schemeClr val="dk1"/>
              </a:solidFill>
              <a:effectLst/>
              <a:latin typeface="+mn-lt"/>
              <a:ea typeface="+mn-ea"/>
              <a:cs typeface="+mn-cs"/>
            </a:rPr>
            <a:t>Post-crisis</a:t>
          </a:r>
          <a:r>
            <a:rPr lang="en-IN" sz="1400" b="0">
              <a:solidFill>
                <a:schemeClr val="dk1"/>
              </a:solidFill>
              <a:effectLst/>
              <a:latin typeface="+mn-lt"/>
              <a:ea typeface="+mn-ea"/>
              <a:cs typeface="+mn-cs"/>
            </a:rPr>
            <a:t>: Stayed high at 3.6%, meaning customer confidence hadn’t fully recovered yet.</a:t>
          </a:r>
        </a:p>
        <a:p>
          <a:br>
            <a:rPr lang="en-IN" sz="1400" b="0">
              <a:solidFill>
                <a:schemeClr val="dk1"/>
              </a:solidFill>
              <a:effectLst/>
              <a:latin typeface="+mn-lt"/>
              <a:ea typeface="+mn-ea"/>
              <a:cs typeface="+mn-cs"/>
            </a:rPr>
          </a:br>
          <a:endParaRPr lang="en-IN" sz="1400" b="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br>
            <a:rPr lang="en-IN" sz="1400" b="0">
              <a:solidFill>
                <a:schemeClr val="dk1"/>
              </a:solidFill>
              <a:effectLst/>
              <a:latin typeface="+mn-lt"/>
              <a:ea typeface="+mn-ea"/>
              <a:cs typeface="+mn-cs"/>
            </a:rPr>
          </a:br>
          <a:endParaRPr lang="en-IN" sz="1400" b="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IN" sz="1400" b="0">
            <a:solidFill>
              <a:schemeClr val="dk1"/>
            </a:solidFill>
            <a:effectLst/>
            <a:latin typeface="+mn-lt"/>
            <a:ea typeface="+mn-ea"/>
            <a:cs typeface="+mn-cs"/>
          </a:endParaRPr>
        </a:p>
      </xdr:txBody>
    </xdr:sp>
    <xdr:clientData/>
  </xdr:twoCellAnchor>
  <xdr:twoCellAnchor>
    <xdr:from>
      <xdr:col>1</xdr:col>
      <xdr:colOff>141143</xdr:colOff>
      <xdr:row>106</xdr:row>
      <xdr:rowOff>89206</xdr:rowOff>
    </xdr:from>
    <xdr:to>
      <xdr:col>13</xdr:col>
      <xdr:colOff>347049</xdr:colOff>
      <xdr:row>126</xdr:row>
      <xdr:rowOff>165980</xdr:rowOff>
    </xdr:to>
    <xdr:graphicFrame macro="">
      <xdr:nvGraphicFramePr>
        <xdr:cNvPr id="30" name="Chart 29">
          <a:extLst>
            <a:ext uri="{FF2B5EF4-FFF2-40B4-BE49-F238E27FC236}">
              <a16:creationId xmlns:a16="http://schemas.microsoft.com/office/drawing/2014/main" id="{F370E560-2AA8-800D-D7AF-E3B08EF6D2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44519</xdr:colOff>
      <xdr:row>112</xdr:row>
      <xdr:rowOff>133245</xdr:rowOff>
    </xdr:from>
    <xdr:to>
      <xdr:col>21</xdr:col>
      <xdr:colOff>573387</xdr:colOff>
      <xdr:row>116</xdr:row>
      <xdr:rowOff>82990</xdr:rowOff>
    </xdr:to>
    <xdr:sp macro="" textlink="">
      <xdr:nvSpPr>
        <xdr:cNvPr id="31" name="TextBox 30">
          <a:extLst>
            <a:ext uri="{FF2B5EF4-FFF2-40B4-BE49-F238E27FC236}">
              <a16:creationId xmlns:a16="http://schemas.microsoft.com/office/drawing/2014/main" id="{21FC77BC-3472-9F32-F3AC-E40A88CBD2D1}"/>
            </a:ext>
          </a:extLst>
        </xdr:cNvPr>
        <xdr:cNvSpPr txBox="1"/>
      </xdr:nvSpPr>
      <xdr:spPr>
        <a:xfrm>
          <a:off x="8600044" y="20413007"/>
          <a:ext cx="4806630" cy="6740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i="0">
              <a:solidFill>
                <a:schemeClr val="dk1"/>
              </a:solidFill>
              <a:effectLst/>
              <a:latin typeface="+mn-lt"/>
              <a:ea typeface="+mn-ea"/>
              <a:cs typeface="+mn-cs"/>
            </a:rPr>
            <a:t>Number</a:t>
          </a:r>
          <a:r>
            <a:rPr lang="en-IN" sz="1400" b="0" i="0" baseline="0">
              <a:solidFill>
                <a:schemeClr val="dk1"/>
              </a:solidFill>
              <a:effectLst/>
              <a:latin typeface="+mn-lt"/>
              <a:ea typeface="+mn-ea"/>
              <a:cs typeface="+mn-cs"/>
            </a:rPr>
            <a:t> </a:t>
          </a:r>
          <a:r>
            <a:rPr lang="en-IN" sz="1400" b="0" i="0">
              <a:solidFill>
                <a:schemeClr val="dk1"/>
              </a:solidFill>
              <a:effectLst/>
              <a:latin typeface="+mn-lt"/>
              <a:ea typeface="+mn-ea"/>
              <a:cs typeface="+mn-cs"/>
            </a:rPr>
            <a:t>of orders is maximum for </a:t>
          </a:r>
          <a:r>
            <a:rPr lang="en-IN" sz="1400" b="1" i="0">
              <a:solidFill>
                <a:schemeClr val="dk1"/>
              </a:solidFill>
              <a:effectLst/>
              <a:latin typeface="+mn-lt"/>
              <a:ea typeface="+mn-ea"/>
              <a:cs typeface="+mn-cs"/>
            </a:rPr>
            <a:t>North Indian</a:t>
          </a:r>
          <a:r>
            <a:rPr lang="en-IN" sz="1400" b="0" i="0">
              <a:solidFill>
                <a:schemeClr val="dk1"/>
              </a:solidFill>
              <a:effectLst/>
              <a:latin typeface="+mn-lt"/>
              <a:ea typeface="+mn-ea"/>
              <a:cs typeface="+mn-cs"/>
            </a:rPr>
            <a:t> food in all </a:t>
          </a:r>
          <a:r>
            <a:rPr lang="en-IN" sz="1400" b="1" i="0">
              <a:solidFill>
                <a:schemeClr val="dk1"/>
              </a:solidFill>
              <a:effectLst/>
              <a:latin typeface="+mn-lt"/>
              <a:ea typeface="+mn-ea"/>
              <a:cs typeface="+mn-cs"/>
            </a:rPr>
            <a:t>3 phases</a:t>
          </a:r>
          <a:r>
            <a:rPr lang="en-IN" sz="1400" b="0" i="0">
              <a:solidFill>
                <a:schemeClr val="dk1"/>
              </a:solidFill>
              <a:effectLst/>
              <a:latin typeface="+mn-lt"/>
              <a:ea typeface="+mn-ea"/>
              <a:cs typeface="+mn-cs"/>
            </a:rPr>
            <a:t>, followed by </a:t>
          </a:r>
          <a:r>
            <a:rPr lang="en-IN" sz="1400" b="1" i="0">
              <a:solidFill>
                <a:schemeClr val="dk1"/>
              </a:solidFill>
              <a:effectLst/>
              <a:latin typeface="+mn-lt"/>
              <a:ea typeface="+mn-ea"/>
              <a:cs typeface="+mn-cs"/>
            </a:rPr>
            <a:t>South Indian, Biryani, Chinese</a:t>
          </a:r>
          <a:r>
            <a:rPr lang="en-IN" sz="1400" b="0" i="0">
              <a:solidFill>
                <a:schemeClr val="dk1"/>
              </a:solidFill>
              <a:effectLst/>
              <a:latin typeface="+mn-lt"/>
              <a:ea typeface="+mn-ea"/>
              <a:cs typeface="+mn-cs"/>
            </a:rPr>
            <a:t>.</a:t>
          </a:r>
          <a:endParaRPr lang="en-IN" sz="1400"/>
        </a:p>
      </xdr:txBody>
    </xdr:sp>
    <xdr:clientData/>
  </xdr:twoCellAnchor>
  <xdr:twoCellAnchor>
    <xdr:from>
      <xdr:col>1</xdr:col>
      <xdr:colOff>119794</xdr:colOff>
      <xdr:row>128</xdr:row>
      <xdr:rowOff>166566</xdr:rowOff>
    </xdr:from>
    <xdr:to>
      <xdr:col>13</xdr:col>
      <xdr:colOff>347049</xdr:colOff>
      <xdr:row>146</xdr:row>
      <xdr:rowOff>30178</xdr:rowOff>
    </xdr:to>
    <xdr:graphicFrame macro="">
      <xdr:nvGraphicFramePr>
        <xdr:cNvPr id="32" name="Chart 31">
          <a:extLst>
            <a:ext uri="{FF2B5EF4-FFF2-40B4-BE49-F238E27FC236}">
              <a16:creationId xmlns:a16="http://schemas.microsoft.com/office/drawing/2014/main" id="{EDD802FB-D70A-F06F-D358-58ECE36F22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110407</xdr:colOff>
      <xdr:row>129</xdr:row>
      <xdr:rowOff>106171</xdr:rowOff>
    </xdr:from>
    <xdr:to>
      <xdr:col>21</xdr:col>
      <xdr:colOff>404812</xdr:colOff>
      <xdr:row>135</xdr:row>
      <xdr:rowOff>7937</xdr:rowOff>
    </xdr:to>
    <xdr:sp macro="" textlink="">
      <xdr:nvSpPr>
        <xdr:cNvPr id="33" name="TextBox 32">
          <a:extLst>
            <a:ext uri="{FF2B5EF4-FFF2-40B4-BE49-F238E27FC236}">
              <a16:creationId xmlns:a16="http://schemas.microsoft.com/office/drawing/2014/main" id="{C045E3FF-ADB9-FAD1-FD6C-260C8880D439}"/>
            </a:ext>
          </a:extLst>
        </xdr:cNvPr>
        <xdr:cNvSpPr txBox="1"/>
      </xdr:nvSpPr>
      <xdr:spPr>
        <a:xfrm>
          <a:off x="8667032" y="23656734"/>
          <a:ext cx="4572718" cy="9971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chemeClr val="dk1"/>
              </a:solidFill>
              <a:effectLst/>
              <a:latin typeface="+mn-lt"/>
              <a:ea typeface="+mn-ea"/>
              <a:cs typeface="+mn-cs"/>
            </a:rPr>
            <a:t>Bengaluru</a:t>
          </a:r>
          <a:r>
            <a:rPr lang="en-IN" sz="1400" b="0">
              <a:solidFill>
                <a:schemeClr val="dk1"/>
              </a:solidFill>
              <a:effectLst/>
              <a:latin typeface="+mn-lt"/>
              <a:ea typeface="+mn-ea"/>
              <a:cs typeface="+mn-cs"/>
            </a:rPr>
            <a:t> has the highest no.of order in 3 phases [post-crisis, crisis, post-crisis], followed by </a:t>
          </a:r>
          <a:r>
            <a:rPr lang="en-IN" sz="1400" b="1">
              <a:solidFill>
                <a:schemeClr val="dk1"/>
              </a:solidFill>
              <a:effectLst/>
              <a:latin typeface="+mn-lt"/>
              <a:ea typeface="+mn-ea"/>
              <a:cs typeface="+mn-cs"/>
            </a:rPr>
            <a:t>Delhi</a:t>
          </a:r>
          <a:r>
            <a:rPr lang="en-IN" sz="1400" b="0">
              <a:solidFill>
                <a:schemeClr val="dk1"/>
              </a:solidFill>
              <a:effectLst/>
              <a:latin typeface="+mn-lt"/>
              <a:ea typeface="+mn-ea"/>
              <a:cs typeface="+mn-cs"/>
            </a:rPr>
            <a:t>. Least no.of order is done from </a:t>
          </a:r>
          <a:r>
            <a:rPr lang="en-IN" sz="1400" b="1">
              <a:solidFill>
                <a:schemeClr val="dk1"/>
              </a:solidFill>
              <a:effectLst/>
              <a:latin typeface="+mn-lt"/>
              <a:ea typeface="+mn-ea"/>
              <a:cs typeface="+mn-cs"/>
            </a:rPr>
            <a:t>Pune</a:t>
          </a:r>
          <a:r>
            <a:rPr lang="en-IN" sz="1400" b="0">
              <a:solidFill>
                <a:schemeClr val="dk1"/>
              </a:solidFill>
              <a:effectLst/>
              <a:latin typeface="+mn-lt"/>
              <a:ea typeface="+mn-ea"/>
              <a:cs typeface="+mn-cs"/>
            </a:rPr>
            <a:t> during pre-crisis and post-crisis phase and </a:t>
          </a:r>
          <a:r>
            <a:rPr lang="en-IN" sz="1400" b="1">
              <a:solidFill>
                <a:schemeClr val="dk1"/>
              </a:solidFill>
              <a:effectLst/>
              <a:latin typeface="+mn-lt"/>
              <a:ea typeface="+mn-ea"/>
              <a:cs typeface="+mn-cs"/>
            </a:rPr>
            <a:t>Ahmedabad</a:t>
          </a:r>
          <a:r>
            <a:rPr lang="en-IN" sz="1400" b="0">
              <a:solidFill>
                <a:schemeClr val="dk1"/>
              </a:solidFill>
              <a:effectLst/>
              <a:latin typeface="+mn-lt"/>
              <a:ea typeface="+mn-ea"/>
              <a:cs typeface="+mn-cs"/>
            </a:rPr>
            <a:t> have least no.of order during crisis phase.</a:t>
          </a:r>
        </a:p>
        <a:p>
          <a:endParaRPr lang="en-IN" sz="1400"/>
        </a:p>
      </xdr:txBody>
    </xdr:sp>
    <xdr:clientData/>
  </xdr:twoCellAnchor>
  <xdr:oneCellAnchor>
    <xdr:from>
      <xdr:col>0</xdr:col>
      <xdr:colOff>602441</xdr:colOff>
      <xdr:row>100</xdr:row>
      <xdr:rowOff>173210</xdr:rowOff>
    </xdr:from>
    <xdr:ext cx="7859587" cy="655885"/>
    <xdr:sp macro="" textlink="">
      <xdr:nvSpPr>
        <xdr:cNvPr id="34" name="Rectangle 33">
          <a:extLst>
            <a:ext uri="{FF2B5EF4-FFF2-40B4-BE49-F238E27FC236}">
              <a16:creationId xmlns:a16="http://schemas.microsoft.com/office/drawing/2014/main" id="{3A8379A9-FD03-3CDD-B24E-FEA919D67168}"/>
            </a:ext>
          </a:extLst>
        </xdr:cNvPr>
        <xdr:cNvSpPr/>
      </xdr:nvSpPr>
      <xdr:spPr>
        <a:xfrm>
          <a:off x="602441" y="18621631"/>
          <a:ext cx="7859587" cy="655885"/>
        </a:xfrm>
        <a:prstGeom prst="rect">
          <a:avLst/>
        </a:prstGeom>
        <a:noFill/>
      </xdr:spPr>
      <xdr:txBody>
        <a:bodyPr wrap="none" lIns="91440" tIns="45720" rIns="91440" bIns="45720">
          <a:spAutoFit/>
        </a:bodyPr>
        <a:lstStyle/>
        <a:p>
          <a:pPr algn="ctr"/>
          <a:r>
            <a:rPr lang="en-IN" sz="36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Behavioral and Market Recovery Trends</a:t>
          </a:r>
          <a:endParaRPr lang="en-US" sz="36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endParaRPr>
        </a:p>
      </xdr:txBody>
    </xdr:sp>
    <xdr:clientData/>
  </xdr:oneCellAnchor>
  <xdr:twoCellAnchor>
    <xdr:from>
      <xdr:col>0</xdr:col>
      <xdr:colOff>111090</xdr:colOff>
      <xdr:row>146</xdr:row>
      <xdr:rowOff>176063</xdr:rowOff>
    </xdr:from>
    <xdr:to>
      <xdr:col>8</xdr:col>
      <xdr:colOff>103069</xdr:colOff>
      <xdr:row>162</xdr:row>
      <xdr:rowOff>127936</xdr:rowOff>
    </xdr:to>
    <xdr:graphicFrame macro="">
      <xdr:nvGraphicFramePr>
        <xdr:cNvPr id="37" name="Chart 36">
          <a:extLst>
            <a:ext uri="{FF2B5EF4-FFF2-40B4-BE49-F238E27FC236}">
              <a16:creationId xmlns:a16="http://schemas.microsoft.com/office/drawing/2014/main" id="{38F760D2-E5CD-B0CB-38B5-EBDEED09F6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223387</xdr:colOff>
      <xdr:row>147</xdr:row>
      <xdr:rowOff>16843</xdr:rowOff>
    </xdr:from>
    <xdr:to>
      <xdr:col>15</xdr:col>
      <xdr:colOff>608397</xdr:colOff>
      <xdr:row>162</xdr:row>
      <xdr:rowOff>127534</xdr:rowOff>
    </xdr:to>
    <xdr:graphicFrame macro="">
      <xdr:nvGraphicFramePr>
        <xdr:cNvPr id="3" name="Chart 2">
          <a:extLst>
            <a:ext uri="{FF2B5EF4-FFF2-40B4-BE49-F238E27FC236}">
              <a16:creationId xmlns:a16="http://schemas.microsoft.com/office/drawing/2014/main" id="{2DFFA28E-2818-3757-01E5-5688C84181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82616</xdr:colOff>
      <xdr:row>147</xdr:row>
      <xdr:rowOff>53741</xdr:rowOff>
    </xdr:from>
    <xdr:to>
      <xdr:col>23</xdr:col>
      <xdr:colOff>299185</xdr:colOff>
      <xdr:row>162</xdr:row>
      <xdr:rowOff>149994</xdr:rowOff>
    </xdr:to>
    <xdr:graphicFrame macro="">
      <xdr:nvGraphicFramePr>
        <xdr:cNvPr id="9" name="Chart 8">
          <a:extLst>
            <a:ext uri="{FF2B5EF4-FFF2-40B4-BE49-F238E27FC236}">
              <a16:creationId xmlns:a16="http://schemas.microsoft.com/office/drawing/2014/main" id="{C65618D6-D9C8-AE95-794F-5B5AA8CB7C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376990</xdr:colOff>
      <xdr:row>163</xdr:row>
      <xdr:rowOff>88232</xdr:rowOff>
    </xdr:from>
    <xdr:to>
      <xdr:col>23</xdr:col>
      <xdr:colOff>409074</xdr:colOff>
      <xdr:row>169</xdr:row>
      <xdr:rowOff>168442</xdr:rowOff>
    </xdr:to>
    <xdr:sp macro="" textlink="">
      <xdr:nvSpPr>
        <xdr:cNvPr id="14" name="TextBox 13">
          <a:extLst>
            <a:ext uri="{FF2B5EF4-FFF2-40B4-BE49-F238E27FC236}">
              <a16:creationId xmlns:a16="http://schemas.microsoft.com/office/drawing/2014/main" id="{4CD274DE-7F81-790C-36BE-5026934894B0}"/>
            </a:ext>
          </a:extLst>
        </xdr:cNvPr>
        <xdr:cNvSpPr txBox="1"/>
      </xdr:nvSpPr>
      <xdr:spPr>
        <a:xfrm>
          <a:off x="5253790" y="30159158"/>
          <a:ext cx="9176084" cy="11871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i="0">
              <a:solidFill>
                <a:schemeClr val="dk1"/>
              </a:solidFill>
              <a:effectLst/>
              <a:latin typeface="+mn-lt"/>
              <a:ea typeface="+mn-ea"/>
              <a:cs typeface="+mn-cs"/>
            </a:rPr>
            <a:t>Analysis of average order value (AOV) indicates consistency across all phases — approximately </a:t>
          </a:r>
          <a:r>
            <a:rPr lang="en-IN" sz="1400" b="1" i="0">
              <a:solidFill>
                <a:schemeClr val="dk1"/>
              </a:solidFill>
              <a:effectLst/>
              <a:latin typeface="+mn-lt"/>
              <a:ea typeface="+mn-ea"/>
              <a:cs typeface="+mn-cs"/>
            </a:rPr>
            <a:t>Rs.340 per order and Rs.460–Rs.560 per customer</a:t>
          </a:r>
          <a:r>
            <a:rPr lang="en-IN" sz="1400" b="0" i="0">
              <a:solidFill>
                <a:schemeClr val="dk1"/>
              </a:solidFill>
              <a:effectLst/>
              <a:latin typeface="+mn-lt"/>
              <a:ea typeface="+mn-ea"/>
              <a:cs typeface="+mn-cs"/>
            </a:rPr>
            <a:t>. This suggests that spending per order was steady, but per customer increased — likely because only high-value loyal users remained active. However, </a:t>
          </a:r>
          <a:r>
            <a:rPr lang="en-IN" sz="1400" b="1" i="0">
              <a:solidFill>
                <a:schemeClr val="dk1"/>
              </a:solidFill>
              <a:effectLst/>
              <a:latin typeface="+mn-lt"/>
              <a:ea typeface="+mn-ea"/>
              <a:cs typeface="+mn-cs"/>
            </a:rPr>
            <a:t>the sharp decline in the number of customers and total orders significantly reduced overall revenue, indicating that the primary impact of the crisis was customer loss rather than reduced basket size</a:t>
          </a:r>
          <a:r>
            <a:rPr lang="en-IN" sz="1400" b="0" i="0">
              <a:solidFill>
                <a:schemeClr val="dk1"/>
              </a:solidFill>
              <a:effectLst/>
              <a:latin typeface="+mn-lt"/>
              <a:ea typeface="+mn-ea"/>
              <a:cs typeface="+mn-cs"/>
            </a:rPr>
            <a:t>.</a:t>
          </a:r>
          <a:endParaRPr lang="en-IN" sz="1400"/>
        </a:p>
      </xdr:txBody>
    </xdr:sp>
    <xdr:clientData/>
  </xdr:twoCellAnchor>
  <xdr:twoCellAnchor>
    <xdr:from>
      <xdr:col>0</xdr:col>
      <xdr:colOff>248652</xdr:colOff>
      <xdr:row>163</xdr:row>
      <xdr:rowOff>80211</xdr:rowOff>
    </xdr:from>
    <xdr:to>
      <xdr:col>7</xdr:col>
      <xdr:colOff>328863</xdr:colOff>
      <xdr:row>167</xdr:row>
      <xdr:rowOff>24064</xdr:rowOff>
    </xdr:to>
    <xdr:sp macro="" textlink="">
      <xdr:nvSpPr>
        <xdr:cNvPr id="20" name="TextBox 19">
          <a:extLst>
            <a:ext uri="{FF2B5EF4-FFF2-40B4-BE49-F238E27FC236}">
              <a16:creationId xmlns:a16="http://schemas.microsoft.com/office/drawing/2014/main" id="{B2111156-4EB1-EF15-3D9F-C332CC66B5D4}"/>
            </a:ext>
          </a:extLst>
        </xdr:cNvPr>
        <xdr:cNvSpPr txBox="1"/>
      </xdr:nvSpPr>
      <xdr:spPr>
        <a:xfrm>
          <a:off x="248652" y="30151137"/>
          <a:ext cx="4347411" cy="6817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i="0">
              <a:solidFill>
                <a:schemeClr val="dk1"/>
              </a:solidFill>
              <a:effectLst/>
              <a:latin typeface="+mn-lt"/>
              <a:ea typeface="+mn-ea"/>
              <a:cs typeface="+mn-cs"/>
            </a:rPr>
            <a:t>Partner type </a:t>
          </a:r>
          <a:r>
            <a:rPr lang="en-IN" sz="1400" b="1" i="0">
              <a:solidFill>
                <a:schemeClr val="dk1"/>
              </a:solidFill>
              <a:effectLst/>
              <a:latin typeface="+mn-lt"/>
              <a:ea typeface="+mn-ea"/>
              <a:cs typeface="+mn-cs"/>
            </a:rPr>
            <a:t>Restaurant</a:t>
          </a:r>
          <a:r>
            <a:rPr lang="en-IN" sz="1400" b="0" i="0">
              <a:solidFill>
                <a:schemeClr val="dk1"/>
              </a:solidFill>
              <a:effectLst/>
              <a:latin typeface="+mn-lt"/>
              <a:ea typeface="+mn-ea"/>
              <a:cs typeface="+mn-cs"/>
            </a:rPr>
            <a:t> has maximum no.of orders in all 3 phases. So Partner type has no effect after crisis phase.</a:t>
          </a:r>
          <a:endParaRPr lang="en-IN" sz="1400"/>
        </a:p>
      </xdr:txBody>
    </xdr:sp>
    <xdr:clientData/>
  </xdr:twoCellAnchor>
  <xdr:twoCellAnchor>
    <xdr:from>
      <xdr:col>0</xdr:col>
      <xdr:colOff>356790</xdr:colOff>
      <xdr:row>173</xdr:row>
      <xdr:rowOff>37122</xdr:rowOff>
    </xdr:from>
    <xdr:to>
      <xdr:col>11</xdr:col>
      <xdr:colOff>320040</xdr:colOff>
      <xdr:row>191</xdr:row>
      <xdr:rowOff>160019</xdr:rowOff>
    </xdr:to>
    <xdr:graphicFrame macro="">
      <xdr:nvGraphicFramePr>
        <xdr:cNvPr id="22" name="Chart 21">
          <a:extLst>
            <a:ext uri="{FF2B5EF4-FFF2-40B4-BE49-F238E27FC236}">
              <a16:creationId xmlns:a16="http://schemas.microsoft.com/office/drawing/2014/main" id="{F7518A1C-8FDA-C832-A8ED-25FB76FAD3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556260</xdr:colOff>
      <xdr:row>173</xdr:row>
      <xdr:rowOff>125730</xdr:rowOff>
    </xdr:from>
    <xdr:to>
      <xdr:col>20</xdr:col>
      <xdr:colOff>38100</xdr:colOff>
      <xdr:row>179</xdr:row>
      <xdr:rowOff>38100</xdr:rowOff>
    </xdr:to>
    <xdr:sp macro="" textlink="">
      <xdr:nvSpPr>
        <xdr:cNvPr id="27" name="TextBox 26">
          <a:extLst>
            <a:ext uri="{FF2B5EF4-FFF2-40B4-BE49-F238E27FC236}">
              <a16:creationId xmlns:a16="http://schemas.microsoft.com/office/drawing/2014/main" id="{124C770D-8A50-F748-BF58-9A04B4BD5CEA}"/>
            </a:ext>
          </a:extLst>
        </xdr:cNvPr>
        <xdr:cNvSpPr txBox="1"/>
      </xdr:nvSpPr>
      <xdr:spPr>
        <a:xfrm>
          <a:off x="7261860" y="31763970"/>
          <a:ext cx="4968240" cy="1009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i="0">
              <a:solidFill>
                <a:schemeClr val="dk1"/>
              </a:solidFill>
              <a:effectLst/>
              <a:latin typeface="+mn-lt"/>
              <a:ea typeface="+mn-ea"/>
              <a:cs typeface="+mn-cs"/>
            </a:rPr>
            <a:t>In </a:t>
          </a:r>
          <a:r>
            <a:rPr lang="en-IN" sz="1400" b="1" i="0">
              <a:solidFill>
                <a:schemeClr val="dk1"/>
              </a:solidFill>
              <a:effectLst/>
              <a:latin typeface="+mn-lt"/>
              <a:ea typeface="+mn-ea"/>
              <a:cs typeface="+mn-cs"/>
            </a:rPr>
            <a:t>pre-crisis</a:t>
          </a:r>
          <a:r>
            <a:rPr lang="en-IN" sz="1400" b="0" i="0">
              <a:solidFill>
                <a:schemeClr val="dk1"/>
              </a:solidFill>
              <a:effectLst/>
              <a:latin typeface="+mn-lt"/>
              <a:ea typeface="+mn-ea"/>
              <a:cs typeface="+mn-cs"/>
            </a:rPr>
            <a:t> phase </a:t>
          </a:r>
          <a:r>
            <a:rPr lang="en-IN" sz="1400" b="1" i="0">
              <a:solidFill>
                <a:schemeClr val="dk1"/>
              </a:solidFill>
              <a:effectLst/>
              <a:latin typeface="+mn-lt"/>
              <a:ea typeface="+mn-ea"/>
              <a:cs typeface="+mn-cs"/>
            </a:rPr>
            <a:t>week days </a:t>
          </a:r>
          <a:r>
            <a:rPr lang="en-IN" sz="1400" b="0" i="0">
              <a:solidFill>
                <a:schemeClr val="dk1"/>
              </a:solidFill>
              <a:effectLst/>
              <a:latin typeface="+mn-lt"/>
              <a:ea typeface="+mn-ea"/>
              <a:cs typeface="+mn-cs"/>
            </a:rPr>
            <a:t>was having maximum no.of orders.</a:t>
          </a:r>
        </a:p>
        <a:p>
          <a:r>
            <a:rPr lang="en-IN" sz="1400" b="0" i="0">
              <a:solidFill>
                <a:schemeClr val="dk1"/>
              </a:solidFill>
              <a:effectLst/>
              <a:latin typeface="+mn-lt"/>
              <a:ea typeface="+mn-ea"/>
              <a:cs typeface="+mn-cs"/>
            </a:rPr>
            <a:t>In </a:t>
          </a:r>
          <a:r>
            <a:rPr lang="en-IN" sz="1400" b="1" i="0">
              <a:solidFill>
                <a:schemeClr val="dk1"/>
              </a:solidFill>
              <a:effectLst/>
              <a:latin typeface="+mn-lt"/>
              <a:ea typeface="+mn-ea"/>
              <a:cs typeface="+mn-cs"/>
            </a:rPr>
            <a:t>crisis</a:t>
          </a:r>
          <a:r>
            <a:rPr lang="en-IN" sz="1400" b="0" i="0">
              <a:solidFill>
                <a:schemeClr val="dk1"/>
              </a:solidFill>
              <a:effectLst/>
              <a:latin typeface="+mn-lt"/>
              <a:ea typeface="+mn-ea"/>
              <a:cs typeface="+mn-cs"/>
            </a:rPr>
            <a:t> phase no.of orders was maximum in </a:t>
          </a:r>
          <a:r>
            <a:rPr lang="en-IN" sz="1400" b="1" i="0">
              <a:solidFill>
                <a:schemeClr val="dk1"/>
              </a:solidFill>
              <a:effectLst/>
              <a:latin typeface="+mn-lt"/>
              <a:ea typeface="+mn-ea"/>
              <a:cs typeface="+mn-cs"/>
            </a:rPr>
            <a:t>Sunday</a:t>
          </a:r>
          <a:r>
            <a:rPr lang="en-IN" sz="1400" b="0" i="0">
              <a:solidFill>
                <a:schemeClr val="dk1"/>
              </a:solidFill>
              <a:effectLst/>
              <a:latin typeface="+mn-lt"/>
              <a:ea typeface="+mn-ea"/>
              <a:cs typeface="+mn-cs"/>
            </a:rPr>
            <a:t>.</a:t>
          </a:r>
        </a:p>
        <a:p>
          <a:r>
            <a:rPr lang="en-IN" sz="1400" b="0" i="0">
              <a:solidFill>
                <a:schemeClr val="dk1"/>
              </a:solidFill>
              <a:effectLst/>
              <a:latin typeface="+mn-lt"/>
              <a:ea typeface="+mn-ea"/>
              <a:cs typeface="+mn-cs"/>
            </a:rPr>
            <a:t>In </a:t>
          </a:r>
          <a:r>
            <a:rPr lang="en-IN" sz="1400" b="1" i="0">
              <a:solidFill>
                <a:schemeClr val="dk1"/>
              </a:solidFill>
              <a:effectLst/>
              <a:latin typeface="+mn-lt"/>
              <a:ea typeface="+mn-ea"/>
              <a:cs typeface="+mn-cs"/>
            </a:rPr>
            <a:t>post-crisis</a:t>
          </a:r>
          <a:r>
            <a:rPr lang="en-IN" sz="1400" b="0" i="0">
              <a:solidFill>
                <a:schemeClr val="dk1"/>
              </a:solidFill>
              <a:effectLst/>
              <a:latin typeface="+mn-lt"/>
              <a:ea typeface="+mn-ea"/>
              <a:cs typeface="+mn-cs"/>
            </a:rPr>
            <a:t> phase no.of order is maximum on </a:t>
          </a:r>
          <a:r>
            <a:rPr lang="en-IN" sz="1400" b="1" i="0">
              <a:solidFill>
                <a:schemeClr val="dk1"/>
              </a:solidFill>
              <a:effectLst/>
              <a:latin typeface="+mn-lt"/>
              <a:ea typeface="+mn-ea"/>
              <a:cs typeface="+mn-cs"/>
            </a:rPr>
            <a:t>Monday</a:t>
          </a:r>
          <a:r>
            <a:rPr lang="en-IN" sz="1400" b="0" i="0">
              <a:solidFill>
                <a:schemeClr val="dk1"/>
              </a:solidFill>
              <a:effectLst/>
              <a:latin typeface="+mn-lt"/>
              <a:ea typeface="+mn-ea"/>
              <a:cs typeface="+mn-cs"/>
            </a:rPr>
            <a:t> then </a:t>
          </a:r>
          <a:r>
            <a:rPr lang="en-IN" sz="1400" b="1" i="0">
              <a:solidFill>
                <a:schemeClr val="dk1"/>
              </a:solidFill>
              <a:effectLst/>
              <a:latin typeface="+mn-lt"/>
              <a:ea typeface="+mn-ea"/>
              <a:cs typeface="+mn-cs"/>
            </a:rPr>
            <a:t>Tuesday</a:t>
          </a:r>
          <a:r>
            <a:rPr lang="en-IN" sz="1400" b="0" i="0">
              <a:solidFill>
                <a:schemeClr val="dk1"/>
              </a:solidFill>
              <a:effectLst/>
              <a:latin typeface="+mn-lt"/>
              <a:ea typeface="+mn-ea"/>
              <a:cs typeface="+mn-cs"/>
            </a:rPr>
            <a:t>.</a:t>
          </a:r>
        </a:p>
        <a:p>
          <a:endParaRPr lang="en-IN" sz="1400"/>
        </a:p>
      </xdr:txBody>
    </xdr:sp>
    <xdr:clientData/>
  </xdr:twoCellAnchor>
  <xdr:oneCellAnchor>
    <xdr:from>
      <xdr:col>0</xdr:col>
      <xdr:colOff>360210</xdr:colOff>
      <xdr:row>192</xdr:row>
      <xdr:rowOff>167455</xdr:rowOff>
    </xdr:from>
    <xdr:ext cx="9414179" cy="655885"/>
    <xdr:sp macro="" textlink="">
      <xdr:nvSpPr>
        <xdr:cNvPr id="39" name="Rectangle 38">
          <a:extLst>
            <a:ext uri="{FF2B5EF4-FFF2-40B4-BE49-F238E27FC236}">
              <a16:creationId xmlns:a16="http://schemas.microsoft.com/office/drawing/2014/main" id="{B949C2FA-BA8C-FE64-E62B-7B73D8BF93E7}"/>
            </a:ext>
          </a:extLst>
        </xdr:cNvPr>
        <xdr:cNvSpPr/>
      </xdr:nvSpPr>
      <xdr:spPr>
        <a:xfrm>
          <a:off x="360210" y="35280415"/>
          <a:ext cx="9414179" cy="655885"/>
        </a:xfrm>
        <a:prstGeom prst="rect">
          <a:avLst/>
        </a:prstGeom>
        <a:noFill/>
      </xdr:spPr>
      <xdr:txBody>
        <a:bodyPr wrap="none" lIns="91440" tIns="45720" rIns="91440" bIns="45720">
          <a:spAutoFit/>
        </a:bodyPr>
        <a:lstStyle/>
        <a:p>
          <a:pPr algn="ctr"/>
          <a:r>
            <a:rPr lang="en-IN" sz="36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Operational Performance &amp; Partnership Insights</a:t>
          </a:r>
        </a:p>
      </xdr:txBody>
    </xdr:sp>
    <xdr:clientData/>
  </xdr:oneCellAnchor>
  <xdr:twoCellAnchor>
    <xdr:from>
      <xdr:col>0</xdr:col>
      <xdr:colOff>226060</xdr:colOff>
      <xdr:row>197</xdr:row>
      <xdr:rowOff>9889</xdr:rowOff>
    </xdr:from>
    <xdr:to>
      <xdr:col>7</xdr:col>
      <xdr:colOff>529321</xdr:colOff>
      <xdr:row>212</xdr:row>
      <xdr:rowOff>9890</xdr:rowOff>
    </xdr:to>
    <xdr:graphicFrame macro="">
      <xdr:nvGraphicFramePr>
        <xdr:cNvPr id="42" name="Chart 41">
          <a:extLst>
            <a:ext uri="{FF2B5EF4-FFF2-40B4-BE49-F238E27FC236}">
              <a16:creationId xmlns:a16="http://schemas.microsoft.com/office/drawing/2014/main" id="{A42987F9-5F4F-444B-4BE8-A88CCCB070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211205</xdr:colOff>
      <xdr:row>212</xdr:row>
      <xdr:rowOff>118418</xdr:rowOff>
    </xdr:from>
    <xdr:to>
      <xdr:col>6</xdr:col>
      <xdr:colOff>454120</xdr:colOff>
      <xdr:row>221</xdr:row>
      <xdr:rowOff>53879</xdr:rowOff>
    </xdr:to>
    <xdr:sp macro="" textlink="">
      <xdr:nvSpPr>
        <xdr:cNvPr id="43" name="TextBox 42">
          <a:extLst>
            <a:ext uri="{FF2B5EF4-FFF2-40B4-BE49-F238E27FC236}">
              <a16:creationId xmlns:a16="http://schemas.microsoft.com/office/drawing/2014/main" id="{E7D7936F-5779-1D70-067B-201AC0AAE3D9}"/>
            </a:ext>
          </a:extLst>
        </xdr:cNvPr>
        <xdr:cNvSpPr txBox="1"/>
      </xdr:nvSpPr>
      <xdr:spPr>
        <a:xfrm>
          <a:off x="211205" y="39280600"/>
          <a:ext cx="3891279" cy="15980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i="0">
              <a:solidFill>
                <a:schemeClr val="dk1"/>
              </a:solidFill>
              <a:effectLst/>
              <a:latin typeface="+mn-lt"/>
              <a:ea typeface="+mn-ea"/>
              <a:cs typeface="+mn-cs"/>
            </a:rPr>
            <a:t>Across all three phases, customer preference for preparation time remained consistent — around </a:t>
          </a:r>
          <a:r>
            <a:rPr lang="en-IN" sz="1400" b="1" i="0">
              <a:solidFill>
                <a:schemeClr val="dk1"/>
              </a:solidFill>
              <a:effectLst/>
              <a:latin typeface="+mn-lt"/>
              <a:ea typeface="+mn-ea"/>
              <a:cs typeface="+mn-cs"/>
            </a:rPr>
            <a:t>40% </a:t>
          </a:r>
          <a:r>
            <a:rPr lang="en-IN" sz="1400" b="0" i="0">
              <a:solidFill>
                <a:schemeClr val="dk1"/>
              </a:solidFill>
              <a:effectLst/>
              <a:latin typeface="+mn-lt"/>
              <a:ea typeface="+mn-ea"/>
              <a:cs typeface="+mn-cs"/>
            </a:rPr>
            <a:t>of orders in the </a:t>
          </a:r>
          <a:r>
            <a:rPr lang="en-IN" sz="1400" b="1" i="0">
              <a:solidFill>
                <a:schemeClr val="dk1"/>
              </a:solidFill>
              <a:effectLst/>
              <a:latin typeface="+mn-lt"/>
              <a:ea typeface="+mn-ea"/>
              <a:cs typeface="+mn-cs"/>
            </a:rPr>
            <a:t>16–25</a:t>
          </a:r>
          <a:r>
            <a:rPr lang="en-IN" sz="1400" b="0" i="0">
              <a:solidFill>
                <a:schemeClr val="dk1"/>
              </a:solidFill>
              <a:effectLst/>
              <a:latin typeface="+mn-lt"/>
              <a:ea typeface="+mn-ea"/>
              <a:cs typeface="+mn-cs"/>
            </a:rPr>
            <a:t> min range, and roughly </a:t>
          </a:r>
          <a:r>
            <a:rPr lang="en-IN" sz="1400" b="1" i="0">
              <a:solidFill>
                <a:schemeClr val="dk1"/>
              </a:solidFill>
              <a:effectLst/>
              <a:latin typeface="+mn-lt"/>
              <a:ea typeface="+mn-ea"/>
              <a:cs typeface="+mn-cs"/>
            </a:rPr>
            <a:t>10%</a:t>
          </a:r>
          <a:r>
            <a:rPr lang="en-IN" sz="1400" b="0" i="0">
              <a:solidFill>
                <a:schemeClr val="dk1"/>
              </a:solidFill>
              <a:effectLst/>
              <a:latin typeface="+mn-lt"/>
              <a:ea typeface="+mn-ea"/>
              <a:cs typeface="+mn-cs"/>
            </a:rPr>
            <a:t> in </a:t>
          </a:r>
          <a:r>
            <a:rPr lang="en-IN" sz="1400" b="1" i="0">
              <a:solidFill>
                <a:schemeClr val="dk1"/>
              </a:solidFill>
              <a:effectLst/>
              <a:latin typeface="+mn-lt"/>
              <a:ea typeface="+mn-ea"/>
              <a:cs typeface="+mn-cs"/>
            </a:rPr>
            <a:t>&gt;40 min</a:t>
          </a:r>
          <a:r>
            <a:rPr lang="en-IN" sz="1400" b="0" i="0">
              <a:solidFill>
                <a:schemeClr val="dk1"/>
              </a:solidFill>
              <a:effectLst/>
              <a:latin typeface="+mn-lt"/>
              <a:ea typeface="+mn-ea"/>
              <a:cs typeface="+mn-cs"/>
            </a:rPr>
            <a:t>. The crisis primarily caused an overall volume drop, not a behavioral shift in prep-time preference.</a:t>
          </a:r>
          <a:endParaRPr lang="en-IN" sz="1400"/>
        </a:p>
      </xdr:txBody>
    </xdr:sp>
    <xdr:clientData/>
  </xdr:twoCellAnchor>
  <xdr:twoCellAnchor>
    <xdr:from>
      <xdr:col>15</xdr:col>
      <xdr:colOff>587104</xdr:colOff>
      <xdr:row>292</xdr:row>
      <xdr:rowOff>158492</xdr:rowOff>
    </xdr:from>
    <xdr:to>
      <xdr:col>23</xdr:col>
      <xdr:colOff>285416</xdr:colOff>
      <xdr:row>307</xdr:row>
      <xdr:rowOff>158492</xdr:rowOff>
    </xdr:to>
    <xdr:graphicFrame macro="">
      <xdr:nvGraphicFramePr>
        <xdr:cNvPr id="26" name="Chart 25">
          <a:extLst>
            <a:ext uri="{FF2B5EF4-FFF2-40B4-BE49-F238E27FC236}">
              <a16:creationId xmlns:a16="http://schemas.microsoft.com/office/drawing/2014/main" id="{3B06CD86-686A-88A4-1EB7-185C066ABE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171062</xdr:colOff>
      <xdr:row>270</xdr:row>
      <xdr:rowOff>146006</xdr:rowOff>
    </xdr:from>
    <xdr:to>
      <xdr:col>11</xdr:col>
      <xdr:colOff>60680</xdr:colOff>
      <xdr:row>291</xdr:row>
      <xdr:rowOff>45815</xdr:rowOff>
    </xdr:to>
    <xdr:graphicFrame macro="">
      <xdr:nvGraphicFramePr>
        <xdr:cNvPr id="36" name="Chart 35">
          <a:extLst>
            <a:ext uri="{FF2B5EF4-FFF2-40B4-BE49-F238E27FC236}">
              <a16:creationId xmlns:a16="http://schemas.microsoft.com/office/drawing/2014/main" id="{DFCF9CB3-220B-1334-CEDE-337E635095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11</xdr:col>
      <xdr:colOff>399839</xdr:colOff>
      <xdr:row>270</xdr:row>
      <xdr:rowOff>96312</xdr:rowOff>
    </xdr:from>
    <xdr:to>
      <xdr:col>23</xdr:col>
      <xdr:colOff>267263</xdr:colOff>
      <xdr:row>291</xdr:row>
      <xdr:rowOff>51934</xdr:rowOff>
    </xdr:to>
    <xdr:graphicFrame macro="">
      <xdr:nvGraphicFramePr>
        <xdr:cNvPr id="38" name="Chart 37">
          <a:extLst>
            <a:ext uri="{FF2B5EF4-FFF2-40B4-BE49-F238E27FC236}">
              <a16:creationId xmlns:a16="http://schemas.microsoft.com/office/drawing/2014/main" id="{A0DFFBD0-B711-90F7-F871-B24F629ACD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8</xdr:col>
      <xdr:colOff>25955</xdr:colOff>
      <xdr:row>196</xdr:row>
      <xdr:rowOff>184652</xdr:rowOff>
    </xdr:from>
    <xdr:to>
      <xdr:col>15</xdr:col>
      <xdr:colOff>327645</xdr:colOff>
      <xdr:row>211</xdr:row>
      <xdr:rowOff>184652</xdr:rowOff>
    </xdr:to>
    <xdr:graphicFrame macro="">
      <xdr:nvGraphicFramePr>
        <xdr:cNvPr id="41" name="Chart 40">
          <a:extLst>
            <a:ext uri="{FF2B5EF4-FFF2-40B4-BE49-F238E27FC236}">
              <a16:creationId xmlns:a16="http://schemas.microsoft.com/office/drawing/2014/main" id="{0DF347D2-281C-5B5C-B635-4437A9FFB6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15</xdr:col>
      <xdr:colOff>482456</xdr:colOff>
      <xdr:row>197</xdr:row>
      <xdr:rowOff>29409</xdr:rowOff>
    </xdr:from>
    <xdr:to>
      <xdr:col>23</xdr:col>
      <xdr:colOff>89285</xdr:colOff>
      <xdr:row>211</xdr:row>
      <xdr:rowOff>162813</xdr:rowOff>
    </xdr:to>
    <xdr:graphicFrame macro="">
      <xdr:nvGraphicFramePr>
        <xdr:cNvPr id="35" name="Chart 34">
          <a:extLst>
            <a:ext uri="{FF2B5EF4-FFF2-40B4-BE49-F238E27FC236}">
              <a16:creationId xmlns:a16="http://schemas.microsoft.com/office/drawing/2014/main" id="{0AD31A96-83BD-C801-A5C1-57C0CFA8CF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7</xdr:col>
      <xdr:colOff>181647</xdr:colOff>
      <xdr:row>212</xdr:row>
      <xdr:rowOff>93132</xdr:rowOff>
    </xdr:from>
    <xdr:to>
      <xdr:col>14</xdr:col>
      <xdr:colOff>84667</xdr:colOff>
      <xdr:row>229</xdr:row>
      <xdr:rowOff>30788</xdr:rowOff>
    </xdr:to>
    <xdr:sp macro="" textlink="">
      <xdr:nvSpPr>
        <xdr:cNvPr id="44" name="TextBox 43">
          <a:extLst>
            <a:ext uri="{FF2B5EF4-FFF2-40B4-BE49-F238E27FC236}">
              <a16:creationId xmlns:a16="http://schemas.microsoft.com/office/drawing/2014/main" id="{BC9DA161-38D0-4A46-773E-45D995E06D5D}"/>
            </a:ext>
          </a:extLst>
        </xdr:cNvPr>
        <xdr:cNvSpPr txBox="1"/>
      </xdr:nvSpPr>
      <xdr:spPr>
        <a:xfrm>
          <a:off x="4438071" y="39255314"/>
          <a:ext cx="4159444" cy="30780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Check</a:t>
          </a:r>
          <a:r>
            <a:rPr lang="en-IN" sz="1400" baseline="0"/>
            <a:t> </a:t>
          </a:r>
          <a:r>
            <a:rPr lang="en-IN" sz="1400" b="1" baseline="0"/>
            <a:t>City level order across phases </a:t>
          </a:r>
          <a:r>
            <a:rPr lang="en-IN" sz="1400" b="0" baseline="0"/>
            <a:t>in </a:t>
          </a:r>
          <a:r>
            <a:rPr lang="en-IN" sz="1400" b="1" baseline="0"/>
            <a:t>Behavioral and Market Recovery Trends </a:t>
          </a:r>
          <a:r>
            <a:rPr lang="en-IN" sz="1400" b="0" baseline="0"/>
            <a:t>section and </a:t>
          </a:r>
          <a:r>
            <a:rPr lang="en-IN" sz="1400" b="1" baseline="0"/>
            <a:t>Cities with total restaurant count </a:t>
          </a:r>
          <a:r>
            <a:rPr lang="en-IN" sz="1400" b="0" baseline="0"/>
            <a:t>in</a:t>
          </a:r>
          <a:r>
            <a:rPr lang="en-IN" sz="1400" b="1" baseline="0"/>
            <a:t> Operational and Performance Insights </a:t>
          </a:r>
          <a:r>
            <a:rPr lang="en-IN" sz="1400" b="0" baseline="0"/>
            <a:t>section</a:t>
          </a:r>
          <a:r>
            <a:rPr lang="en-IN" sz="1400" b="1" baseline="0"/>
            <a:t>.</a:t>
          </a:r>
        </a:p>
        <a:p>
          <a:r>
            <a:rPr lang="en-IN" sz="1400" b="0" baseline="0"/>
            <a:t>1. </a:t>
          </a:r>
          <a:r>
            <a:rPr lang="en-IN" sz="1400" b="1" baseline="0"/>
            <a:t>Ahmedabad</a:t>
          </a:r>
          <a:r>
            <a:rPr lang="en-IN" sz="1400" b="0" baseline="0"/>
            <a:t> and </a:t>
          </a:r>
          <a:r>
            <a:rPr lang="en-IN" sz="1400" b="1" baseline="0"/>
            <a:t>Pune</a:t>
          </a:r>
          <a:r>
            <a:rPr lang="en-IN" sz="1400" b="0" baseline="0"/>
            <a:t> was having lowest no.of orders and least </a:t>
          </a:r>
          <a:r>
            <a:rPr lang="en-IN" sz="1400" b="1" baseline="0"/>
            <a:t>no.of Restaurants </a:t>
          </a:r>
          <a:r>
            <a:rPr lang="en-IN" sz="1400" b="0" baseline="0"/>
            <a:t>but the </a:t>
          </a:r>
          <a:r>
            <a:rPr lang="en-IN" sz="1400" b="1" baseline="0"/>
            <a:t>Recovery</a:t>
          </a:r>
          <a:r>
            <a:rPr lang="en-IN" sz="1400" b="0" baseline="0"/>
            <a:t> </a:t>
          </a:r>
          <a:r>
            <a:rPr lang="en-IN" sz="1400" b="1" baseline="0"/>
            <a:t>Percentage</a:t>
          </a:r>
          <a:r>
            <a:rPr lang="en-IN" sz="1400" b="0" baseline="0"/>
            <a:t> is </a:t>
          </a:r>
          <a:r>
            <a:rPr lang="en-IN" sz="1400" b="1" baseline="0"/>
            <a:t>highest</a:t>
          </a:r>
          <a:r>
            <a:rPr lang="en-IN" sz="1400" b="0" baseline="0"/>
            <a:t> for </a:t>
          </a:r>
          <a:r>
            <a:rPr lang="en-IN" sz="1400" b="1" baseline="0"/>
            <a:t>Ahmedabad </a:t>
          </a:r>
          <a:r>
            <a:rPr lang="en-IN" sz="1400" b="0" baseline="0"/>
            <a:t>and</a:t>
          </a:r>
          <a:r>
            <a:rPr lang="en-IN" sz="1400" b="1" baseline="0"/>
            <a:t> Pune </a:t>
          </a:r>
          <a:r>
            <a:rPr lang="en-IN" sz="1400" b="0" baseline="0"/>
            <a:t>also recovered well in comparision to others.</a:t>
          </a:r>
        </a:p>
        <a:p>
          <a:r>
            <a:rPr lang="en-IN" sz="1400" b="0" baseline="0"/>
            <a:t>2.</a:t>
          </a:r>
          <a:r>
            <a:rPr lang="en-IN" sz="1400" b="1" baseline="0"/>
            <a:t> Chennai </a:t>
          </a:r>
          <a:r>
            <a:rPr lang="en-IN" sz="1400" b="0" baseline="0"/>
            <a:t>also shown good </a:t>
          </a:r>
          <a:r>
            <a:rPr lang="en-IN" sz="1400" b="1" baseline="0"/>
            <a:t>Recovory </a:t>
          </a:r>
          <a:r>
            <a:rPr lang="en-IN" sz="1400" b="0" baseline="0"/>
            <a:t>than</a:t>
          </a:r>
          <a:r>
            <a:rPr lang="en-IN" sz="1400" b="1" baseline="0"/>
            <a:t> Bengaluru </a:t>
          </a:r>
          <a:r>
            <a:rPr lang="en-IN" sz="1400" b="0" baseline="0"/>
            <a:t>although</a:t>
          </a:r>
          <a:r>
            <a:rPr lang="en-IN" sz="1400" b="1" baseline="0"/>
            <a:t> Bengaluru </a:t>
          </a:r>
          <a:r>
            <a:rPr lang="en-IN" sz="1400" b="0" baseline="0"/>
            <a:t>has</a:t>
          </a:r>
          <a:r>
            <a:rPr lang="en-IN" sz="1400" b="1" baseline="0"/>
            <a:t> highest no.of restaurants </a:t>
          </a:r>
          <a:r>
            <a:rPr lang="en-IN" sz="1400" b="0" baseline="0"/>
            <a:t>as</a:t>
          </a:r>
          <a:r>
            <a:rPr lang="en-IN" sz="1400" b="1" baseline="0"/>
            <a:t> </a:t>
          </a:r>
          <a:r>
            <a:rPr lang="en-IN" sz="1400" b="0" baseline="0"/>
            <a:t>well</a:t>
          </a:r>
          <a:r>
            <a:rPr lang="en-IN" sz="1400" b="1" baseline="0"/>
            <a:t> </a:t>
          </a:r>
          <a:r>
            <a:rPr lang="en-IN" sz="1400" b="0" baseline="0"/>
            <a:t>as</a:t>
          </a:r>
          <a:r>
            <a:rPr lang="en-IN" sz="1400" b="1" baseline="0"/>
            <a:t> orders.</a:t>
          </a:r>
        </a:p>
        <a:p>
          <a:r>
            <a:rPr lang="en-IN" sz="1400" b="0"/>
            <a:t>3.</a:t>
          </a:r>
          <a:r>
            <a:rPr lang="en-IN" sz="1400" b="1"/>
            <a:t>Mumbai, Delhi, Hyderabad Recovery</a:t>
          </a:r>
          <a:r>
            <a:rPr lang="en-IN" sz="1400" b="1" baseline="0"/>
            <a:t> Percentage is moderate. Kolkata has least Recovery Percentage</a:t>
          </a:r>
          <a:r>
            <a:rPr lang="en-IN" sz="1400" b="0" baseline="0"/>
            <a:t>.</a:t>
          </a:r>
          <a:endParaRPr lang="en-IN" sz="1400" b="0"/>
        </a:p>
      </xdr:txBody>
    </xdr:sp>
    <xdr:clientData/>
  </xdr:twoCellAnchor>
  <xdr:twoCellAnchor>
    <xdr:from>
      <xdr:col>16</xdr:col>
      <xdr:colOff>473507</xdr:colOff>
      <xdr:row>217</xdr:row>
      <xdr:rowOff>127428</xdr:rowOff>
    </xdr:from>
    <xdr:to>
      <xdr:col>23</xdr:col>
      <xdr:colOff>256592</xdr:colOff>
      <xdr:row>233</xdr:row>
      <xdr:rowOff>163286</xdr:rowOff>
    </xdr:to>
    <xdr:sp macro="" textlink="">
      <xdr:nvSpPr>
        <xdr:cNvPr id="45" name="TextBox 44">
          <a:extLst>
            <a:ext uri="{FF2B5EF4-FFF2-40B4-BE49-F238E27FC236}">
              <a16:creationId xmlns:a16="http://schemas.microsoft.com/office/drawing/2014/main" id="{7040B3B8-BB3D-48F6-6AC5-0299EA0F7B47}"/>
            </a:ext>
          </a:extLst>
        </xdr:cNvPr>
        <xdr:cNvSpPr txBox="1"/>
      </xdr:nvSpPr>
      <xdr:spPr>
        <a:xfrm>
          <a:off x="10177344" y="40622285"/>
          <a:ext cx="4028513" cy="302165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1.</a:t>
          </a:r>
          <a:r>
            <a:rPr lang="en-IN" sz="1400" b="1" baseline="0"/>
            <a:t>No.of Restaurant </a:t>
          </a:r>
          <a:r>
            <a:rPr lang="en-IN" sz="1400" baseline="0"/>
            <a:t>should increase in </a:t>
          </a:r>
          <a:r>
            <a:rPr lang="en-IN" sz="1400" b="1" baseline="0"/>
            <a:t>Ahmedabad</a:t>
          </a:r>
          <a:r>
            <a:rPr lang="en-IN" sz="1400" b="0" baseline="0"/>
            <a:t> as it is showing good Recovery, sale will increase.</a:t>
          </a:r>
        </a:p>
        <a:p>
          <a:r>
            <a:rPr lang="en-IN" sz="1400" b="0" baseline="0"/>
            <a:t>2. </a:t>
          </a:r>
          <a:r>
            <a:rPr lang="en-IN" sz="1400" b="1" baseline="0"/>
            <a:t>Kolkata</a:t>
          </a:r>
          <a:r>
            <a:rPr lang="en-IN" sz="1400" b="0" baseline="0"/>
            <a:t> need most special attention along with other moderate performing cities:</a:t>
          </a:r>
        </a:p>
        <a:p>
          <a:r>
            <a:rPr lang="en-IN" sz="1400"/>
            <a:t>i) Focus more on </a:t>
          </a:r>
          <a:r>
            <a:rPr lang="en-IN" sz="1400" b="1"/>
            <a:t>marketing</a:t>
          </a:r>
          <a:r>
            <a:rPr lang="en-IN" sz="1400"/>
            <a:t> and </a:t>
          </a:r>
          <a:r>
            <a:rPr lang="en-IN" sz="1400" b="1"/>
            <a:t>recovery</a:t>
          </a:r>
          <a:r>
            <a:rPr lang="en-IN" sz="1400"/>
            <a:t> </a:t>
          </a:r>
          <a:r>
            <a:rPr lang="en-IN" sz="1400" b="1"/>
            <a:t>campaigns</a:t>
          </a:r>
          <a:r>
            <a:rPr lang="en-IN" sz="1400"/>
            <a:t>.</a:t>
          </a:r>
        </a:p>
        <a:p>
          <a:r>
            <a:rPr lang="en-IN" sz="1400"/>
            <a:t>ii) Investigate </a:t>
          </a:r>
          <a:r>
            <a:rPr lang="en-IN" sz="1400" b="1"/>
            <a:t>consumer behaviora or local factors</a:t>
          </a:r>
          <a:r>
            <a:rPr lang="en-IN" sz="1400"/>
            <a:t> causing slower recovery in some cities despite similar pre-crisis volumes</a:t>
          </a:r>
          <a:r>
            <a:rPr lang="en-IN" sz="1400" baseline="0"/>
            <a:t> along with </a:t>
          </a:r>
          <a:r>
            <a:rPr lang="en-IN" sz="1400" b="1" baseline="0"/>
            <a:t>Kolkata</a:t>
          </a:r>
          <a:r>
            <a:rPr lang="en-IN" sz="1400" baseline="0"/>
            <a:t>.</a:t>
          </a:r>
        </a:p>
        <a:p>
          <a:r>
            <a:rPr lang="en-IN" sz="1400" baseline="0"/>
            <a:t>3.</a:t>
          </a:r>
          <a:r>
            <a:rPr lang="en-IN" sz="1400" b="1"/>
            <a:t>Maintain operational excellence </a:t>
          </a:r>
          <a:r>
            <a:rPr lang="en-IN" sz="1400" b="0"/>
            <a:t>and</a:t>
          </a:r>
          <a:r>
            <a:rPr lang="en-IN" sz="1400" b="1"/>
            <a:t> supply stability </a:t>
          </a:r>
          <a:r>
            <a:rPr lang="en-IN" sz="1400"/>
            <a:t>in </a:t>
          </a:r>
          <a:r>
            <a:rPr lang="en-IN" sz="1400" b="1"/>
            <a:t>fast-recovering cities (Ahmedabad, Pune)</a:t>
          </a:r>
          <a:r>
            <a:rPr lang="en-IN" sz="1400"/>
            <a:t> to sustain momentum.</a:t>
          </a:r>
        </a:p>
        <a:p>
          <a:endParaRPr lang="en-IN" sz="1400" baseline="0"/>
        </a:p>
        <a:p>
          <a:endParaRPr lang="en-IN" sz="1400" baseline="0"/>
        </a:p>
        <a:p>
          <a:endParaRPr lang="en-IN" sz="1400" baseline="0"/>
        </a:p>
      </xdr:txBody>
    </xdr:sp>
    <xdr:clientData/>
  </xdr:twoCellAnchor>
  <xdr:twoCellAnchor>
    <xdr:from>
      <xdr:col>14</xdr:col>
      <xdr:colOff>284788</xdr:colOff>
      <xdr:row>220</xdr:row>
      <xdr:rowOff>7697</xdr:rowOff>
    </xdr:from>
    <xdr:to>
      <xdr:col>16</xdr:col>
      <xdr:colOff>369454</xdr:colOff>
      <xdr:row>220</xdr:row>
      <xdr:rowOff>7697</xdr:rowOff>
    </xdr:to>
    <xdr:cxnSp macro="">
      <xdr:nvCxnSpPr>
        <xdr:cNvPr id="47" name="Straight Arrow Connector 46">
          <a:extLst>
            <a:ext uri="{FF2B5EF4-FFF2-40B4-BE49-F238E27FC236}">
              <a16:creationId xmlns:a16="http://schemas.microsoft.com/office/drawing/2014/main" id="{C6B80C64-6291-3C16-F050-72A76D994535}"/>
            </a:ext>
          </a:extLst>
        </xdr:cNvPr>
        <xdr:cNvCxnSpPr/>
      </xdr:nvCxnSpPr>
      <xdr:spPr>
        <a:xfrm>
          <a:off x="8797636" y="40647697"/>
          <a:ext cx="1300788" cy="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oneCellAnchor>
    <xdr:from>
      <xdr:col>14</xdr:col>
      <xdr:colOff>177031</xdr:colOff>
      <xdr:row>218</xdr:row>
      <xdr:rowOff>46182</xdr:rowOff>
    </xdr:from>
    <xdr:ext cx="1483291" cy="311496"/>
    <xdr:sp macro="" textlink="">
      <xdr:nvSpPr>
        <xdr:cNvPr id="48" name="TextBox 47">
          <a:extLst>
            <a:ext uri="{FF2B5EF4-FFF2-40B4-BE49-F238E27FC236}">
              <a16:creationId xmlns:a16="http://schemas.microsoft.com/office/drawing/2014/main" id="{BE10DA71-C992-9519-C942-9BDDBDC892DC}"/>
            </a:ext>
          </a:extLst>
        </xdr:cNvPr>
        <xdr:cNvSpPr txBox="1"/>
      </xdr:nvSpPr>
      <xdr:spPr>
        <a:xfrm>
          <a:off x="8689879" y="40316727"/>
          <a:ext cx="148329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a:t>Recommendation</a:t>
          </a:r>
        </a:p>
      </xdr:txBody>
    </xdr:sp>
    <xdr:clientData/>
  </xdr:oneCellAnchor>
  <xdr:twoCellAnchor>
    <xdr:from>
      <xdr:col>15</xdr:col>
      <xdr:colOff>592013</xdr:colOff>
      <xdr:row>212</xdr:row>
      <xdr:rowOff>134815</xdr:rowOff>
    </xdr:from>
    <xdr:to>
      <xdr:col>23</xdr:col>
      <xdr:colOff>211014</xdr:colOff>
      <xdr:row>216</xdr:row>
      <xdr:rowOff>105508</xdr:rowOff>
    </xdr:to>
    <xdr:sp macro="" textlink="">
      <xdr:nvSpPr>
        <xdr:cNvPr id="40" name="TextBox 39">
          <a:extLst>
            <a:ext uri="{FF2B5EF4-FFF2-40B4-BE49-F238E27FC236}">
              <a16:creationId xmlns:a16="http://schemas.microsoft.com/office/drawing/2014/main" id="{25597978-BF7E-84CE-2135-5394C6CCA29F}"/>
            </a:ext>
          </a:extLst>
        </xdr:cNvPr>
        <xdr:cNvSpPr txBox="1"/>
      </xdr:nvSpPr>
      <xdr:spPr>
        <a:xfrm>
          <a:off x="9736013" y="39899492"/>
          <a:ext cx="4495801" cy="7209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City-Level Recovery</a:t>
          </a:r>
        </a:p>
        <a:p>
          <a:r>
            <a:rPr lang="en-IN" sz="1400"/>
            <a:t>It says</a:t>
          </a:r>
          <a:r>
            <a:rPr lang="en-IN" sz="1400" baseline="0"/>
            <a:t> =&gt; </a:t>
          </a:r>
          <a:r>
            <a:rPr lang="en-IN" sz="1400" b="1"/>
            <a:t>Which city bounced back the most overall?</a:t>
          </a:r>
        </a:p>
      </xdr:txBody>
    </xdr:sp>
    <xdr:clientData/>
  </xdr:twoCellAnchor>
  <xdr:twoCellAnchor>
    <xdr:from>
      <xdr:col>0</xdr:col>
      <xdr:colOff>302003</xdr:colOff>
      <xdr:row>239</xdr:row>
      <xdr:rowOff>47888</xdr:rowOff>
    </xdr:from>
    <xdr:to>
      <xdr:col>12</xdr:col>
      <xdr:colOff>484565</xdr:colOff>
      <xdr:row>262</xdr:row>
      <xdr:rowOff>15550</xdr:rowOff>
    </xdr:to>
    <xdr:graphicFrame macro="">
      <xdr:nvGraphicFramePr>
        <xdr:cNvPr id="46" name="Chart 45">
          <a:extLst>
            <a:ext uri="{FF2B5EF4-FFF2-40B4-BE49-F238E27FC236}">
              <a16:creationId xmlns:a16="http://schemas.microsoft.com/office/drawing/2014/main" id="{71741892-31D1-BDF8-2146-25C5ADF89E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13</xdr:col>
      <xdr:colOff>19699</xdr:colOff>
      <xdr:row>239</xdr:row>
      <xdr:rowOff>61410</xdr:rowOff>
    </xdr:from>
    <xdr:to>
      <xdr:col>23</xdr:col>
      <xdr:colOff>225490</xdr:colOff>
      <xdr:row>254</xdr:row>
      <xdr:rowOff>132185</xdr:rowOff>
    </xdr:to>
    <xdr:sp macro="" textlink="">
      <xdr:nvSpPr>
        <xdr:cNvPr id="49" name="TextBox 48">
          <a:extLst>
            <a:ext uri="{FF2B5EF4-FFF2-40B4-BE49-F238E27FC236}">
              <a16:creationId xmlns:a16="http://schemas.microsoft.com/office/drawing/2014/main" id="{9318B940-8E71-5A06-4037-DC56431383DF}"/>
            </a:ext>
          </a:extLst>
        </xdr:cNvPr>
        <xdr:cNvSpPr txBox="1"/>
      </xdr:nvSpPr>
      <xdr:spPr>
        <a:xfrm>
          <a:off x="7904066" y="44661737"/>
          <a:ext cx="6270689" cy="28699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Restaurant-Level Recovery</a:t>
          </a:r>
        </a:p>
        <a:p>
          <a:pPr marL="0" marR="0" lvl="0" indent="0" defTabSz="914400" eaLnBrk="1" fontAlgn="auto" latinLnBrk="0" hangingPunct="1">
            <a:lnSpc>
              <a:spcPct val="100000"/>
            </a:lnSpc>
            <a:spcBef>
              <a:spcPts val="0"/>
            </a:spcBef>
            <a:spcAft>
              <a:spcPts val="0"/>
            </a:spcAft>
            <a:buClrTx/>
            <a:buSzTx/>
            <a:buFontTx/>
            <a:buNone/>
            <a:tabLst/>
            <a:defRPr/>
          </a:pPr>
          <a:r>
            <a:rPr lang="en-IN" sz="1400">
              <a:solidFill>
                <a:schemeClr val="dk1"/>
              </a:solidFill>
              <a:effectLst/>
              <a:latin typeface="+mn-lt"/>
              <a:ea typeface="+mn-ea"/>
              <a:cs typeface="+mn-cs"/>
            </a:rPr>
            <a:t>It says</a:t>
          </a:r>
          <a:r>
            <a:rPr lang="en-IN" sz="1400" baseline="0">
              <a:solidFill>
                <a:schemeClr val="dk1"/>
              </a:solidFill>
              <a:effectLst/>
              <a:latin typeface="+mn-lt"/>
              <a:ea typeface="+mn-ea"/>
              <a:cs typeface="+mn-cs"/>
            </a:rPr>
            <a:t> =&gt; </a:t>
          </a:r>
          <a:r>
            <a:rPr lang="en-IN" sz="1400" b="1">
              <a:solidFill>
                <a:schemeClr val="dk1"/>
              </a:solidFill>
              <a:effectLst/>
              <a:latin typeface="+mn-lt"/>
              <a:ea typeface="+mn-ea"/>
              <a:cs typeface="+mn-cs"/>
            </a:rPr>
            <a:t>Which city’s restaurants recovered most consistently?</a:t>
          </a:r>
        </a:p>
        <a:p>
          <a:pPr marL="0" marR="0" lvl="0" indent="0" defTabSz="914400" eaLnBrk="1" fontAlgn="auto" latinLnBrk="0" hangingPunct="1">
            <a:lnSpc>
              <a:spcPct val="100000"/>
            </a:lnSpc>
            <a:spcBef>
              <a:spcPts val="0"/>
            </a:spcBef>
            <a:spcAft>
              <a:spcPts val="0"/>
            </a:spcAft>
            <a:buClrTx/>
            <a:buSzTx/>
            <a:buFontTx/>
            <a:buNone/>
            <a:tabLst/>
            <a:defRPr/>
          </a:pPr>
          <a:endParaRPr lang="en-IN" sz="1400">
            <a:solidFill>
              <a:schemeClr val="dk1"/>
            </a:solidFill>
            <a:effectLst/>
            <a:latin typeface="+mn-lt"/>
            <a:ea typeface="+mn-ea"/>
            <a:cs typeface="+mn-cs"/>
          </a:endParaRPr>
        </a:p>
        <a:p>
          <a:r>
            <a:rPr lang="en-IN" sz="1400" b="1"/>
            <a:t>Bengaluru, Delhi, and Mumbai</a:t>
          </a:r>
          <a:r>
            <a:rPr lang="en-IN" sz="1400"/>
            <a:t> have the </a:t>
          </a:r>
          <a:r>
            <a:rPr lang="en-IN" sz="1400" b="1"/>
            <a:t>highest number of restaurants</a:t>
          </a:r>
          <a:r>
            <a:rPr lang="en-IN" sz="1400"/>
            <a:t> showing “</a:t>
          </a:r>
          <a:r>
            <a:rPr lang="en-IN" sz="1400" b="1"/>
            <a:t>Strong Recovery</a:t>
          </a:r>
          <a:r>
            <a:rPr lang="en-IN" sz="1400"/>
            <a:t>” and</a:t>
          </a:r>
          <a:r>
            <a:rPr lang="en-IN" sz="1400" baseline="0"/>
            <a:t> </a:t>
          </a:r>
          <a:r>
            <a:rPr lang="en-IN" sz="1400" b="1" baseline="0"/>
            <a:t>Bengaluru, Mumbai, Delhi</a:t>
          </a:r>
          <a:r>
            <a:rPr lang="en-IN" sz="1400"/>
            <a:t> showing “Reactivated/New” activity — suggesting </a:t>
          </a:r>
          <a:r>
            <a:rPr lang="en-IN" sz="1400" b="1"/>
            <a:t>broad-based recovery across outlets</a:t>
          </a:r>
          <a:r>
            <a:rPr lang="en-IN" sz="1400"/>
            <a:t>.</a:t>
          </a:r>
        </a:p>
        <a:p>
          <a:r>
            <a:rPr lang="en-IN" sz="1400" b="1"/>
            <a:t>Ahmedabad</a:t>
          </a:r>
          <a:r>
            <a:rPr lang="en-IN" sz="1400"/>
            <a:t>, though top in overall city recovery % (205.96 %) , has a </a:t>
          </a:r>
          <a:r>
            <a:rPr lang="en-IN" sz="1400" b="1"/>
            <a:t>smaller share of restaurants</a:t>
          </a:r>
          <a:r>
            <a:rPr lang="en-IN" sz="1400"/>
            <a:t> in “Strong Recovery.” This indicates </a:t>
          </a:r>
          <a:r>
            <a:rPr lang="en-IN" sz="1400" b="1"/>
            <a:t>uneven recovery</a:t>
          </a:r>
          <a:r>
            <a:rPr lang="en-IN" sz="1400"/>
            <a:t> — a few restaurants recovered exceptionally, but many are still moderate or lagging.</a:t>
          </a:r>
        </a:p>
        <a:p>
          <a:r>
            <a:rPr lang="en-IN" sz="1400" b="1"/>
            <a:t>Pune and Chennai</a:t>
          </a:r>
          <a:r>
            <a:rPr lang="en-IN" sz="1400"/>
            <a:t> also show a balanced recovery but fewer new reactivations compared to metro cities.</a:t>
          </a:r>
        </a:p>
        <a:p>
          <a:r>
            <a:rPr lang="en-IN" sz="1400" b="1"/>
            <a:t>Kolkata and Hyderabad</a:t>
          </a:r>
          <a:r>
            <a:rPr lang="en-IN" sz="1400"/>
            <a:t> have larger proportions of “At Risk” or “Moderate” outlets.</a:t>
          </a:r>
        </a:p>
        <a:p>
          <a:pPr marL="0" marR="0" lvl="0" indent="0" defTabSz="914400" eaLnBrk="1" fontAlgn="auto" latinLnBrk="0" hangingPunct="1">
            <a:lnSpc>
              <a:spcPct val="100000"/>
            </a:lnSpc>
            <a:spcBef>
              <a:spcPts val="0"/>
            </a:spcBef>
            <a:spcAft>
              <a:spcPts val="0"/>
            </a:spcAft>
            <a:buClrTx/>
            <a:buSzTx/>
            <a:buFontTx/>
            <a:buNone/>
            <a:tabLst/>
            <a:defRPr/>
          </a:pPr>
          <a:endParaRPr lang="en-IN" sz="1400">
            <a:effectLst/>
          </a:endParaRPr>
        </a:p>
        <a:p>
          <a:endParaRPr lang="en-IN" sz="1400"/>
        </a:p>
      </xdr:txBody>
    </xdr:sp>
    <xdr:clientData/>
  </xdr:twoCellAnchor>
  <xdr:twoCellAnchor>
    <xdr:from>
      <xdr:col>14</xdr:col>
      <xdr:colOff>217487</xdr:colOff>
      <xdr:row>138</xdr:row>
      <xdr:rowOff>15082</xdr:rowOff>
    </xdr:from>
    <xdr:to>
      <xdr:col>21</xdr:col>
      <xdr:colOff>150812</xdr:colOff>
      <xdr:row>146</xdr:row>
      <xdr:rowOff>0</xdr:rowOff>
    </xdr:to>
    <xdr:sp macro="" textlink="">
      <xdr:nvSpPr>
        <xdr:cNvPr id="50" name="TextBox 49">
          <a:extLst>
            <a:ext uri="{FF2B5EF4-FFF2-40B4-BE49-F238E27FC236}">
              <a16:creationId xmlns:a16="http://schemas.microsoft.com/office/drawing/2014/main" id="{DC942A56-2AA4-9FA9-02D8-2873E069EE40}"/>
            </a:ext>
          </a:extLst>
        </xdr:cNvPr>
        <xdr:cNvSpPr txBox="1"/>
      </xdr:nvSpPr>
      <xdr:spPr>
        <a:xfrm>
          <a:off x="8774112" y="25208707"/>
          <a:ext cx="4211638" cy="14454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Support further recovery in </a:t>
          </a:r>
          <a:r>
            <a:rPr lang="en-IN" sz="1400" b="1"/>
            <a:t>high-growth smaller markets (Ahmedabad, Pune)</a:t>
          </a:r>
          <a:r>
            <a:rPr lang="en-IN" sz="1400"/>
            <a:t> by encouraging restaurant expansion and partnerships.</a:t>
          </a:r>
          <a:br>
            <a:rPr lang="en-IN" sz="1400"/>
          </a:br>
          <a:r>
            <a:rPr lang="en-IN" sz="1400"/>
            <a:t>For </a:t>
          </a:r>
          <a:r>
            <a:rPr lang="en-IN" sz="1400" b="1"/>
            <a:t>large metros (Bengaluru, Delhi, Mumbai)</a:t>
          </a:r>
          <a:r>
            <a:rPr lang="en-IN" sz="1400"/>
            <a:t>, focus on boosting order frequency through offers, delivery optimizations, and loyalty programs.</a:t>
          </a:r>
        </a:p>
      </xdr:txBody>
    </xdr:sp>
    <xdr:clientData/>
  </xdr:twoCellAnchor>
  <xdr:twoCellAnchor>
    <xdr:from>
      <xdr:col>16</xdr:col>
      <xdr:colOff>439736</xdr:colOff>
      <xdr:row>135</xdr:row>
      <xdr:rowOff>110331</xdr:rowOff>
    </xdr:from>
    <xdr:to>
      <xdr:col>19</xdr:col>
      <xdr:colOff>253998</xdr:colOff>
      <xdr:row>137</xdr:row>
      <xdr:rowOff>103187</xdr:rowOff>
    </xdr:to>
    <xdr:sp macro="" textlink="">
      <xdr:nvSpPr>
        <xdr:cNvPr id="51" name="TextBox 50">
          <a:extLst>
            <a:ext uri="{FF2B5EF4-FFF2-40B4-BE49-F238E27FC236}">
              <a16:creationId xmlns:a16="http://schemas.microsoft.com/office/drawing/2014/main" id="{ADD828F0-F9F8-E7CE-1A93-7307B15088C3}"/>
            </a:ext>
          </a:extLst>
        </xdr:cNvPr>
        <xdr:cNvSpPr txBox="1"/>
      </xdr:nvSpPr>
      <xdr:spPr>
        <a:xfrm>
          <a:off x="10218736" y="24756269"/>
          <a:ext cx="1647825" cy="3579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a:latin typeface="Arial Black" panose="020B0A04020102020204" pitchFamily="34" charset="0"/>
            </a:rPr>
            <a:t>Recommendation</a:t>
          </a:r>
        </a:p>
      </xdr:txBody>
    </xdr:sp>
    <xdr:clientData/>
  </xdr:twoCellAnchor>
  <xdr:twoCellAnchor>
    <xdr:from>
      <xdr:col>13</xdr:col>
      <xdr:colOff>8947</xdr:colOff>
      <xdr:row>258</xdr:row>
      <xdr:rowOff>164219</xdr:rowOff>
    </xdr:from>
    <xdr:to>
      <xdr:col>23</xdr:col>
      <xdr:colOff>412102</xdr:colOff>
      <xdr:row>268</xdr:row>
      <xdr:rowOff>46654</xdr:rowOff>
    </xdr:to>
    <xdr:sp macro="" textlink="">
      <xdr:nvSpPr>
        <xdr:cNvPr id="52" name="TextBox 51">
          <a:extLst>
            <a:ext uri="{FF2B5EF4-FFF2-40B4-BE49-F238E27FC236}">
              <a16:creationId xmlns:a16="http://schemas.microsoft.com/office/drawing/2014/main" id="{54F534FE-EC85-2CC7-AFA1-65344671ADB6}"/>
            </a:ext>
          </a:extLst>
        </xdr:cNvPr>
        <xdr:cNvSpPr txBox="1"/>
      </xdr:nvSpPr>
      <xdr:spPr>
        <a:xfrm>
          <a:off x="7893314" y="48310178"/>
          <a:ext cx="6468053" cy="17485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Ahmedabad:</a:t>
          </a:r>
          <a:r>
            <a:rPr lang="en-IN" sz="1400"/>
            <a:t> Study high-performing outlets to replicate success across weaker ones.</a:t>
          </a:r>
        </a:p>
        <a:p>
          <a:r>
            <a:rPr lang="en-IN" sz="1400" b="1"/>
            <a:t>Bengaluru, Mumbai, Delhi:</a:t>
          </a:r>
          <a:r>
            <a:rPr lang="en-IN" sz="1400"/>
            <a:t> Continue support through loyalty programs and digital engagement.</a:t>
          </a:r>
        </a:p>
        <a:p>
          <a:r>
            <a:rPr lang="en-IN" sz="1400" b="1"/>
            <a:t>Kolkata, Hyderabad:</a:t>
          </a:r>
          <a:r>
            <a:rPr lang="en-IN" sz="1400"/>
            <a:t> Launch reactivation and marketing initiatives for underperforming outlets.</a:t>
          </a:r>
        </a:p>
        <a:p>
          <a:r>
            <a:rPr lang="en-IN" sz="1400" b="1"/>
            <a:t>All Cities:</a:t>
          </a:r>
          <a:r>
            <a:rPr lang="en-IN" sz="1400"/>
            <a:t> Combine city-level and restaurant-level metrics to track both </a:t>
          </a:r>
          <a:r>
            <a:rPr lang="en-IN" sz="1400" i="1"/>
            <a:t>depth</a:t>
          </a:r>
          <a:r>
            <a:rPr lang="en-IN" sz="1400"/>
            <a:t> and </a:t>
          </a:r>
          <a:r>
            <a:rPr lang="en-IN" sz="1400" i="1"/>
            <a:t>breadth</a:t>
          </a:r>
          <a:r>
            <a:rPr lang="en-IN" sz="1400"/>
            <a:t> of recovery.</a:t>
          </a:r>
        </a:p>
        <a:p>
          <a:endParaRPr lang="en-IN" sz="1400"/>
        </a:p>
      </xdr:txBody>
    </xdr:sp>
    <xdr:clientData/>
  </xdr:twoCellAnchor>
  <xdr:twoCellAnchor>
    <xdr:from>
      <xdr:col>16</xdr:col>
      <xdr:colOff>561391</xdr:colOff>
      <xdr:row>255</xdr:row>
      <xdr:rowOff>176504</xdr:rowOff>
    </xdr:from>
    <xdr:to>
      <xdr:col>19</xdr:col>
      <xdr:colOff>575388</xdr:colOff>
      <xdr:row>258</xdr:row>
      <xdr:rowOff>23327</xdr:rowOff>
    </xdr:to>
    <xdr:sp macro="" textlink="">
      <xdr:nvSpPr>
        <xdr:cNvPr id="53" name="TextBox 52">
          <a:extLst>
            <a:ext uri="{FF2B5EF4-FFF2-40B4-BE49-F238E27FC236}">
              <a16:creationId xmlns:a16="http://schemas.microsoft.com/office/drawing/2014/main" id="{20A77798-CDF8-1F9E-3AE0-2C923DCFDE13}"/>
            </a:ext>
          </a:extLst>
        </xdr:cNvPr>
        <xdr:cNvSpPr txBox="1"/>
      </xdr:nvSpPr>
      <xdr:spPr>
        <a:xfrm>
          <a:off x="10265228" y="47762626"/>
          <a:ext cx="1833466" cy="406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Recommendation</a:t>
          </a:r>
        </a:p>
      </xdr:txBody>
    </xdr:sp>
    <xdr:clientData/>
  </xdr:twoCellAnchor>
  <xdr:twoCellAnchor>
    <xdr:from>
      <xdr:col>0</xdr:col>
      <xdr:colOff>194388</xdr:colOff>
      <xdr:row>292</xdr:row>
      <xdr:rowOff>179613</xdr:rowOff>
    </xdr:from>
    <xdr:to>
      <xdr:col>7</xdr:col>
      <xdr:colOff>520959</xdr:colOff>
      <xdr:row>307</xdr:row>
      <xdr:rowOff>123630</xdr:rowOff>
    </xdr:to>
    <xdr:graphicFrame macro="">
      <xdr:nvGraphicFramePr>
        <xdr:cNvPr id="54" name="Chart 53">
          <a:extLst>
            <a:ext uri="{FF2B5EF4-FFF2-40B4-BE49-F238E27FC236}">
              <a16:creationId xmlns:a16="http://schemas.microsoft.com/office/drawing/2014/main" id="{7FF624B5-C385-BCD0-ACC0-0932F84B6F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8</xdr:col>
      <xdr:colOff>108857</xdr:colOff>
      <xdr:row>292</xdr:row>
      <xdr:rowOff>179614</xdr:rowOff>
    </xdr:from>
    <xdr:to>
      <xdr:col>15</xdr:col>
      <xdr:colOff>435428</xdr:colOff>
      <xdr:row>307</xdr:row>
      <xdr:rowOff>123631</xdr:rowOff>
    </xdr:to>
    <xdr:graphicFrame macro="">
      <xdr:nvGraphicFramePr>
        <xdr:cNvPr id="55" name="Chart 54">
          <a:extLst>
            <a:ext uri="{FF2B5EF4-FFF2-40B4-BE49-F238E27FC236}">
              <a16:creationId xmlns:a16="http://schemas.microsoft.com/office/drawing/2014/main" id="{5A978D61-BA81-D885-0AC4-E7CA8CE0F7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0</xdr:col>
      <xdr:colOff>186613</xdr:colOff>
      <xdr:row>309</xdr:row>
      <xdr:rowOff>140737</xdr:rowOff>
    </xdr:from>
    <xdr:to>
      <xdr:col>10</xdr:col>
      <xdr:colOff>552061</xdr:colOff>
      <xdr:row>324</xdr:row>
      <xdr:rowOff>147735</xdr:rowOff>
    </xdr:to>
    <xdr:graphicFrame macro="">
      <xdr:nvGraphicFramePr>
        <xdr:cNvPr id="58" name="Chart 57">
          <a:extLst>
            <a:ext uri="{FF2B5EF4-FFF2-40B4-BE49-F238E27FC236}">
              <a16:creationId xmlns:a16="http://schemas.microsoft.com/office/drawing/2014/main" id="{ED92B624-E95C-0466-8806-54D35EFF2A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11</xdr:col>
      <xdr:colOff>489856</xdr:colOff>
      <xdr:row>310</xdr:row>
      <xdr:rowOff>777</xdr:rowOff>
    </xdr:from>
    <xdr:to>
      <xdr:col>22</xdr:col>
      <xdr:colOff>93306</xdr:colOff>
      <xdr:row>324</xdr:row>
      <xdr:rowOff>132183</xdr:rowOff>
    </xdr:to>
    <xdr:graphicFrame macro="">
      <xdr:nvGraphicFramePr>
        <xdr:cNvPr id="59" name="Chart 58">
          <a:extLst>
            <a:ext uri="{FF2B5EF4-FFF2-40B4-BE49-F238E27FC236}">
              <a16:creationId xmlns:a16="http://schemas.microsoft.com/office/drawing/2014/main" id="{6F8F0A36-0EA1-B777-FBE7-1ADE49CCB5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0</xdr:col>
      <xdr:colOff>303244</xdr:colOff>
      <xdr:row>325</xdr:row>
      <xdr:rowOff>164063</xdr:rowOff>
    </xdr:from>
    <xdr:to>
      <xdr:col>8</xdr:col>
      <xdr:colOff>23326</xdr:colOff>
      <xdr:row>340</xdr:row>
      <xdr:rowOff>108080</xdr:rowOff>
    </xdr:to>
    <xdr:graphicFrame macro="">
      <xdr:nvGraphicFramePr>
        <xdr:cNvPr id="61" name="Chart 60">
          <a:extLst>
            <a:ext uri="{FF2B5EF4-FFF2-40B4-BE49-F238E27FC236}">
              <a16:creationId xmlns:a16="http://schemas.microsoft.com/office/drawing/2014/main" id="{581875D8-5564-1054-E3A0-2EEBC22E3E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8</xdr:col>
      <xdr:colOff>279919</xdr:colOff>
      <xdr:row>325</xdr:row>
      <xdr:rowOff>179614</xdr:rowOff>
    </xdr:from>
    <xdr:to>
      <xdr:col>16</xdr:col>
      <xdr:colOff>0</xdr:colOff>
      <xdr:row>340</xdr:row>
      <xdr:rowOff>123631</xdr:rowOff>
    </xdr:to>
    <xdr:graphicFrame macro="">
      <xdr:nvGraphicFramePr>
        <xdr:cNvPr id="62" name="Chart 61">
          <a:extLst>
            <a:ext uri="{FF2B5EF4-FFF2-40B4-BE49-F238E27FC236}">
              <a16:creationId xmlns:a16="http://schemas.microsoft.com/office/drawing/2014/main" id="{A9D6E524-E043-86F8-6972-D012D4A07A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EBFB5-5A07-41F4-90CC-62413540C85E}">
  <dimension ref="A6:S72"/>
  <sheetViews>
    <sheetView topLeftCell="C51" zoomScale="99" zoomScaleNormal="99" workbookViewId="0">
      <selection activeCell="O69" sqref="O69"/>
    </sheetView>
  </sheetViews>
  <sheetFormatPr defaultRowHeight="14.4" x14ac:dyDescent="0.3"/>
  <cols>
    <col min="1" max="1" width="24.44140625" bestFit="1" customWidth="1"/>
    <col min="5" max="5" width="15.6640625" customWidth="1"/>
    <col min="6" max="6" width="17.21875" customWidth="1"/>
    <col min="7" max="7" width="12.44140625" customWidth="1"/>
  </cols>
  <sheetData>
    <row r="6" spans="1:19" x14ac:dyDescent="0.3">
      <c r="A6" t="s">
        <v>0</v>
      </c>
      <c r="B6" t="s">
        <v>1</v>
      </c>
    </row>
    <row r="7" spans="1:19" x14ac:dyDescent="0.3">
      <c r="A7" t="s">
        <v>2</v>
      </c>
      <c r="B7">
        <v>70358</v>
      </c>
      <c r="D7" t="s">
        <v>13</v>
      </c>
    </row>
    <row r="8" spans="1:19" x14ac:dyDescent="0.3">
      <c r="A8" t="s">
        <v>4</v>
      </c>
      <c r="B8">
        <v>7141</v>
      </c>
      <c r="D8" t="s">
        <v>0</v>
      </c>
      <c r="E8" t="s">
        <v>12</v>
      </c>
      <c r="F8" t="s">
        <v>14</v>
      </c>
      <c r="K8" t="s">
        <v>26</v>
      </c>
      <c r="L8" t="s">
        <v>2</v>
      </c>
      <c r="M8" t="s">
        <v>4</v>
      </c>
      <c r="N8" t="s">
        <v>3</v>
      </c>
      <c r="P8" t="s">
        <v>48</v>
      </c>
    </row>
    <row r="9" spans="1:19" x14ac:dyDescent="0.3">
      <c r="A9" t="s">
        <v>3</v>
      </c>
      <c r="B9">
        <v>22524</v>
      </c>
      <c r="D9" t="s">
        <v>2</v>
      </c>
      <c r="E9">
        <v>37620964.25</v>
      </c>
      <c r="F9" t="s">
        <v>15</v>
      </c>
      <c r="K9" t="s">
        <v>27</v>
      </c>
      <c r="L9">
        <v>16411</v>
      </c>
      <c r="M9">
        <v>1186</v>
      </c>
      <c r="N9">
        <v>3731</v>
      </c>
      <c r="P9" t="s">
        <v>47</v>
      </c>
      <c r="Q9" t="s">
        <v>2</v>
      </c>
      <c r="R9" t="s">
        <v>4</v>
      </c>
      <c r="S9" t="s">
        <v>3</v>
      </c>
    </row>
    <row r="10" spans="1:19" x14ac:dyDescent="0.3">
      <c r="D10" t="s">
        <v>4</v>
      </c>
      <c r="E10">
        <v>2802064.52</v>
      </c>
      <c r="F10" t="s">
        <v>16</v>
      </c>
      <c r="K10" t="s">
        <v>28</v>
      </c>
      <c r="L10">
        <v>16025</v>
      </c>
      <c r="M10">
        <v>1261</v>
      </c>
      <c r="N10">
        <v>3574</v>
      </c>
      <c r="P10" t="s">
        <v>45</v>
      </c>
      <c r="Q10">
        <v>32199</v>
      </c>
      <c r="R10">
        <v>2485</v>
      </c>
      <c r="S10">
        <v>7177</v>
      </c>
    </row>
    <row r="11" spans="1:19" x14ac:dyDescent="0.3">
      <c r="A11" t="s">
        <v>0</v>
      </c>
      <c r="B11" t="s">
        <v>5</v>
      </c>
      <c r="D11" t="s">
        <v>3</v>
      </c>
      <c r="E11">
        <v>8138086.79</v>
      </c>
      <c r="F11" t="s">
        <v>17</v>
      </c>
      <c r="K11" t="s">
        <v>29</v>
      </c>
      <c r="L11">
        <v>8911</v>
      </c>
      <c r="M11">
        <v>654</v>
      </c>
      <c r="N11">
        <v>1870</v>
      </c>
      <c r="P11" t="s">
        <v>46</v>
      </c>
      <c r="Q11">
        <v>76561</v>
      </c>
      <c r="R11">
        <v>5762</v>
      </c>
      <c r="S11">
        <v>16858</v>
      </c>
    </row>
    <row r="12" spans="1:19" x14ac:dyDescent="0.3">
      <c r="A12" t="s">
        <v>2</v>
      </c>
      <c r="B12" s="1">
        <v>0.70340000000000003</v>
      </c>
      <c r="K12" t="s">
        <v>30</v>
      </c>
      <c r="L12">
        <v>10608</v>
      </c>
      <c r="M12">
        <v>810</v>
      </c>
      <c r="N12">
        <v>2364</v>
      </c>
    </row>
    <row r="13" spans="1:19" x14ac:dyDescent="0.3">
      <c r="A13" t="s">
        <v>4</v>
      </c>
      <c r="B13" s="1">
        <v>7.1400000000000005E-2</v>
      </c>
      <c r="K13" t="s">
        <v>31</v>
      </c>
      <c r="L13">
        <v>5518</v>
      </c>
      <c r="M13">
        <v>378</v>
      </c>
      <c r="N13">
        <v>1256</v>
      </c>
      <c r="P13" t="s">
        <v>51</v>
      </c>
    </row>
    <row r="14" spans="1:19" x14ac:dyDescent="0.3">
      <c r="A14" t="s">
        <v>3</v>
      </c>
      <c r="B14" s="1">
        <v>0.22520000000000001</v>
      </c>
      <c r="D14" t="s">
        <v>18</v>
      </c>
      <c r="K14" t="s">
        <v>32</v>
      </c>
      <c r="L14">
        <v>21448</v>
      </c>
      <c r="M14">
        <v>1624</v>
      </c>
      <c r="N14">
        <v>4754</v>
      </c>
      <c r="P14" t="s">
        <v>0</v>
      </c>
      <c r="Q14" t="s">
        <v>50</v>
      </c>
    </row>
    <row r="15" spans="1:19" x14ac:dyDescent="0.3">
      <c r="D15" t="s">
        <v>0</v>
      </c>
      <c r="E15" t="s">
        <v>19</v>
      </c>
      <c r="F15" t="s">
        <v>20</v>
      </c>
      <c r="K15" t="s">
        <v>33</v>
      </c>
      <c r="L15">
        <v>13449</v>
      </c>
      <c r="M15">
        <v>1072</v>
      </c>
      <c r="N15">
        <v>2905</v>
      </c>
      <c r="P15" t="s">
        <v>2</v>
      </c>
      <c r="Q15" s="2">
        <v>345.90809400000001</v>
      </c>
    </row>
    <row r="16" spans="1:19" x14ac:dyDescent="0.3">
      <c r="A16" t="s">
        <v>6</v>
      </c>
      <c r="B16" t="s">
        <v>5</v>
      </c>
      <c r="D16" t="s">
        <v>2</v>
      </c>
      <c r="E16">
        <v>32865</v>
      </c>
      <c r="F16">
        <v>75895</v>
      </c>
      <c r="K16" t="s">
        <v>34</v>
      </c>
      <c r="L16">
        <v>16390</v>
      </c>
      <c r="M16">
        <v>1262</v>
      </c>
      <c r="N16">
        <v>3581</v>
      </c>
      <c r="P16" t="s">
        <v>4</v>
      </c>
      <c r="Q16" s="2">
        <v>339.76773600000001</v>
      </c>
    </row>
    <row r="17" spans="1:19" x14ac:dyDescent="0.3">
      <c r="A17" t="s">
        <v>7</v>
      </c>
      <c r="B17" s="1">
        <v>0.76349999999999996</v>
      </c>
      <c r="D17" t="s">
        <v>4</v>
      </c>
      <c r="E17">
        <v>2931</v>
      </c>
      <c r="F17">
        <v>5316</v>
      </c>
      <c r="P17" t="s">
        <v>3</v>
      </c>
      <c r="Q17" s="2">
        <v>338.59316799999999</v>
      </c>
    </row>
    <row r="18" spans="1:19" x14ac:dyDescent="0.3">
      <c r="A18" t="s">
        <v>8</v>
      </c>
      <c r="B18" s="1">
        <v>0.22520000000000001</v>
      </c>
      <c r="D18" t="s">
        <v>3</v>
      </c>
      <c r="E18">
        <v>8395</v>
      </c>
      <c r="F18">
        <v>15640</v>
      </c>
    </row>
    <row r="19" spans="1:19" x14ac:dyDescent="0.3">
      <c r="A19" t="s">
        <v>9</v>
      </c>
      <c r="B19" s="1">
        <v>1.1299999999999999E-2</v>
      </c>
    </row>
    <row r="20" spans="1:19" x14ac:dyDescent="0.3">
      <c r="K20" t="s">
        <v>43</v>
      </c>
      <c r="L20" t="s">
        <v>2</v>
      </c>
      <c r="M20" t="s">
        <v>4</v>
      </c>
      <c r="N20" t="s">
        <v>44</v>
      </c>
      <c r="P20" t="s">
        <v>53</v>
      </c>
    </row>
    <row r="21" spans="1:19" x14ac:dyDescent="0.3">
      <c r="D21" t="s">
        <v>21</v>
      </c>
      <c r="K21" t="s">
        <v>35</v>
      </c>
      <c r="L21">
        <v>8938</v>
      </c>
      <c r="M21">
        <v>654</v>
      </c>
      <c r="N21">
        <v>2001</v>
      </c>
      <c r="P21" t="s">
        <v>49</v>
      </c>
      <c r="Q21" t="s">
        <v>52</v>
      </c>
    </row>
    <row r="22" spans="1:19" x14ac:dyDescent="0.3">
      <c r="A22" t="s">
        <v>10</v>
      </c>
      <c r="D22" t="s">
        <v>0</v>
      </c>
      <c r="E22" t="s">
        <v>22</v>
      </c>
      <c r="F22" t="s">
        <v>23</v>
      </c>
      <c r="G22" t="s">
        <v>24</v>
      </c>
      <c r="H22" t="s">
        <v>25</v>
      </c>
      <c r="K22" t="s">
        <v>36</v>
      </c>
      <c r="L22">
        <v>26958</v>
      </c>
      <c r="M22">
        <v>2005</v>
      </c>
      <c r="N22">
        <v>5948</v>
      </c>
      <c r="P22" t="s">
        <v>2</v>
      </c>
      <c r="Q22" s="2">
        <v>453.72797500000001</v>
      </c>
    </row>
    <row r="23" spans="1:19" x14ac:dyDescent="0.3">
      <c r="A23" t="s">
        <v>0</v>
      </c>
      <c r="B23" t="s">
        <v>11</v>
      </c>
      <c r="D23" t="s">
        <v>2</v>
      </c>
      <c r="E23">
        <v>1848</v>
      </c>
      <c r="F23">
        <v>106912</v>
      </c>
      <c r="G23">
        <f>E23+F23</f>
        <v>108760</v>
      </c>
      <c r="H23" s="1">
        <f>E23/G23</f>
        <v>1.6991541007723428E-2</v>
      </c>
      <c r="K23" t="s">
        <v>37</v>
      </c>
      <c r="L23">
        <v>11029</v>
      </c>
      <c r="M23">
        <v>778</v>
      </c>
      <c r="N23">
        <v>2354</v>
      </c>
      <c r="P23" t="s">
        <v>4</v>
      </c>
      <c r="Q23" s="2">
        <v>542.423179</v>
      </c>
    </row>
    <row r="24" spans="1:19" x14ac:dyDescent="0.3">
      <c r="A24" t="s">
        <v>2</v>
      </c>
      <c r="B24">
        <v>108760</v>
      </c>
      <c r="D24" t="s">
        <v>4</v>
      </c>
      <c r="E24">
        <v>274</v>
      </c>
      <c r="F24">
        <v>7973</v>
      </c>
      <c r="G24">
        <f>E24+F24</f>
        <v>8247</v>
      </c>
      <c r="H24" s="1">
        <f>E24/G24</f>
        <v>3.3224202740390445E-2</v>
      </c>
      <c r="K24" t="s">
        <v>38</v>
      </c>
      <c r="L24">
        <v>16083</v>
      </c>
      <c r="M24">
        <v>1269</v>
      </c>
      <c r="N24">
        <v>3611</v>
      </c>
      <c r="P24" t="s">
        <v>3</v>
      </c>
      <c r="Q24" s="2">
        <v>566.69680300000005</v>
      </c>
    </row>
    <row r="25" spans="1:19" x14ac:dyDescent="0.3">
      <c r="A25" t="s">
        <v>4</v>
      </c>
      <c r="B25">
        <v>8247</v>
      </c>
      <c r="D25" t="s">
        <v>3</v>
      </c>
      <c r="E25">
        <v>866</v>
      </c>
      <c r="F25">
        <v>23169</v>
      </c>
      <c r="G25">
        <f>E25+F25</f>
        <v>24035</v>
      </c>
      <c r="H25" s="1">
        <f>E25/G25</f>
        <v>3.6030788433534432E-2</v>
      </c>
      <c r="K25" t="s">
        <v>39</v>
      </c>
      <c r="L25">
        <v>11044</v>
      </c>
      <c r="M25">
        <v>852</v>
      </c>
      <c r="N25">
        <v>2423</v>
      </c>
    </row>
    <row r="26" spans="1:19" x14ac:dyDescent="0.3">
      <c r="A26" t="s">
        <v>3</v>
      </c>
      <c r="B26">
        <v>24035</v>
      </c>
      <c r="K26" t="s">
        <v>40</v>
      </c>
      <c r="L26">
        <v>10012</v>
      </c>
      <c r="M26">
        <v>773</v>
      </c>
      <c r="N26">
        <v>2166</v>
      </c>
    </row>
    <row r="27" spans="1:19" x14ac:dyDescent="0.3">
      <c r="K27" t="s">
        <v>41</v>
      </c>
      <c r="L27">
        <v>16071</v>
      </c>
      <c r="M27">
        <v>1234</v>
      </c>
      <c r="N27">
        <v>3550</v>
      </c>
      <c r="P27" t="s">
        <v>62</v>
      </c>
    </row>
    <row r="28" spans="1:19" x14ac:dyDescent="0.3">
      <c r="K28" t="s">
        <v>42</v>
      </c>
      <c r="L28">
        <v>8625</v>
      </c>
      <c r="M28">
        <v>682</v>
      </c>
      <c r="N28">
        <v>1982</v>
      </c>
      <c r="P28" t="s">
        <v>61</v>
      </c>
      <c r="Q28" t="s">
        <v>2</v>
      </c>
      <c r="R28" t="s">
        <v>4</v>
      </c>
      <c r="S28" t="s">
        <v>3</v>
      </c>
    </row>
    <row r="29" spans="1:19" x14ac:dyDescent="0.3">
      <c r="A29" t="s">
        <v>68</v>
      </c>
      <c r="F29" t="s">
        <v>95</v>
      </c>
      <c r="P29" t="s">
        <v>54</v>
      </c>
      <c r="Q29">
        <v>14926</v>
      </c>
      <c r="R29">
        <v>1133</v>
      </c>
      <c r="S29">
        <v>3743</v>
      </c>
    </row>
    <row r="30" spans="1:19" x14ac:dyDescent="0.3">
      <c r="A30" t="s">
        <v>67</v>
      </c>
      <c r="B30" t="s">
        <v>2</v>
      </c>
      <c r="C30" t="s">
        <v>4</v>
      </c>
      <c r="D30" t="s">
        <v>3</v>
      </c>
      <c r="F30" t="s">
        <v>0</v>
      </c>
      <c r="G30" t="s">
        <v>69</v>
      </c>
      <c r="P30" t="s">
        <v>55</v>
      </c>
      <c r="Q30">
        <v>15094</v>
      </c>
      <c r="R30">
        <v>1127</v>
      </c>
      <c r="S30">
        <v>3612</v>
      </c>
    </row>
    <row r="31" spans="1:19" x14ac:dyDescent="0.3">
      <c r="A31" t="s">
        <v>63</v>
      </c>
      <c r="B31" s="2">
        <v>39.702095999999997</v>
      </c>
      <c r="C31" s="2">
        <v>39.893300000000004</v>
      </c>
      <c r="D31" s="2">
        <v>39.683799999999998</v>
      </c>
      <c r="F31" t="s">
        <v>2</v>
      </c>
      <c r="G31" s="2">
        <v>43.59</v>
      </c>
      <c r="P31" t="s">
        <v>56</v>
      </c>
      <c r="Q31">
        <v>15840</v>
      </c>
      <c r="R31">
        <v>1123</v>
      </c>
      <c r="S31">
        <v>3327</v>
      </c>
    </row>
    <row r="32" spans="1:19" x14ac:dyDescent="0.3">
      <c r="A32" t="s">
        <v>64</v>
      </c>
      <c r="B32" s="2">
        <v>24.982530000000001</v>
      </c>
      <c r="C32" s="2">
        <v>25.888200000000001</v>
      </c>
      <c r="D32" s="2">
        <v>25.633500000000002</v>
      </c>
      <c r="F32" t="s">
        <v>4</v>
      </c>
      <c r="G32" s="2">
        <v>11.79</v>
      </c>
      <c r="P32" t="s">
        <v>57</v>
      </c>
      <c r="Q32">
        <v>15882</v>
      </c>
      <c r="R32">
        <v>1137</v>
      </c>
      <c r="S32">
        <v>3343</v>
      </c>
    </row>
    <row r="33" spans="1:19" x14ac:dyDescent="0.3">
      <c r="A33" t="s">
        <v>65</v>
      </c>
      <c r="B33" s="2">
        <v>25.318131999999999</v>
      </c>
      <c r="C33" s="2">
        <v>24.857524000000002</v>
      </c>
      <c r="D33" s="2">
        <v>24.472643999999999</v>
      </c>
      <c r="F33" t="s">
        <v>3</v>
      </c>
      <c r="G33" s="2">
        <v>12.44</v>
      </c>
      <c r="P33" t="s">
        <v>58</v>
      </c>
      <c r="Q33">
        <v>15951</v>
      </c>
      <c r="R33">
        <v>1171</v>
      </c>
      <c r="S33">
        <v>3364</v>
      </c>
    </row>
    <row r="34" spans="1:19" x14ac:dyDescent="0.3">
      <c r="A34" t="s">
        <v>66</v>
      </c>
      <c r="B34" s="2">
        <v>9.997242</v>
      </c>
      <c r="C34" s="2">
        <v>9.3609500000000008</v>
      </c>
      <c r="D34" s="2">
        <v>10.21011</v>
      </c>
      <c r="P34" t="s">
        <v>59</v>
      </c>
      <c r="Q34">
        <v>15878</v>
      </c>
      <c r="R34">
        <v>1139</v>
      </c>
      <c r="S34">
        <v>3275</v>
      </c>
    </row>
    <row r="35" spans="1:19" x14ac:dyDescent="0.3">
      <c r="P35" t="s">
        <v>60</v>
      </c>
      <c r="Q35">
        <v>15189</v>
      </c>
      <c r="R35">
        <v>1417</v>
      </c>
      <c r="S35">
        <v>3371</v>
      </c>
    </row>
    <row r="37" spans="1:19" x14ac:dyDescent="0.3">
      <c r="I37" t="s">
        <v>96</v>
      </c>
    </row>
    <row r="38" spans="1:19" x14ac:dyDescent="0.3">
      <c r="A38" t="s">
        <v>84</v>
      </c>
      <c r="E38" t="s">
        <v>85</v>
      </c>
      <c r="I38" t="s">
        <v>86</v>
      </c>
      <c r="J38" t="s">
        <v>87</v>
      </c>
      <c r="M38" t="s">
        <v>113</v>
      </c>
    </row>
    <row r="39" spans="1:19" x14ac:dyDescent="0.3">
      <c r="A39" t="s">
        <v>70</v>
      </c>
      <c r="B39" t="s">
        <v>12</v>
      </c>
      <c r="E39" s="4" t="s">
        <v>83</v>
      </c>
      <c r="F39" s="4" t="s">
        <v>11</v>
      </c>
      <c r="I39" t="s">
        <v>36</v>
      </c>
      <c r="J39">
        <v>3098</v>
      </c>
      <c r="M39" t="s">
        <v>86</v>
      </c>
      <c r="N39" t="s">
        <v>4</v>
      </c>
      <c r="O39" t="s">
        <v>3</v>
      </c>
      <c r="P39" t="s">
        <v>2</v>
      </c>
      <c r="Q39" t="s">
        <v>88</v>
      </c>
      <c r="R39" t="s">
        <v>89</v>
      </c>
    </row>
    <row r="40" spans="1:19" x14ac:dyDescent="0.3">
      <c r="A40" t="s">
        <v>71</v>
      </c>
      <c r="B40">
        <v>36072.71</v>
      </c>
      <c r="E40" t="s">
        <v>71</v>
      </c>
      <c r="F40">
        <v>103</v>
      </c>
      <c r="H40" s="3"/>
      <c r="I40" t="s">
        <v>41</v>
      </c>
      <c r="J40">
        <v>2206</v>
      </c>
      <c r="M40" t="s">
        <v>35</v>
      </c>
      <c r="N40">
        <v>654</v>
      </c>
      <c r="O40">
        <v>2001</v>
      </c>
      <c r="P40">
        <v>8938</v>
      </c>
      <c r="Q40">
        <v>92.682927000000007</v>
      </c>
      <c r="R40" s="2">
        <v>205.963303</v>
      </c>
    </row>
    <row r="41" spans="1:19" x14ac:dyDescent="0.3">
      <c r="A41" t="s">
        <v>72</v>
      </c>
      <c r="B41">
        <v>32693.29</v>
      </c>
      <c r="E41" t="s">
        <v>73</v>
      </c>
      <c r="F41">
        <v>97</v>
      </c>
      <c r="H41" s="3"/>
      <c r="I41" t="s">
        <v>38</v>
      </c>
      <c r="J41">
        <v>2202</v>
      </c>
      <c r="M41" t="s">
        <v>37</v>
      </c>
      <c r="N41">
        <v>778</v>
      </c>
      <c r="O41">
        <v>2354</v>
      </c>
      <c r="P41">
        <v>11029</v>
      </c>
      <c r="Q41">
        <v>92.945869999999999</v>
      </c>
      <c r="R41" s="2">
        <v>202.570694</v>
      </c>
    </row>
    <row r="42" spans="1:19" x14ac:dyDescent="0.3">
      <c r="A42" t="s">
        <v>73</v>
      </c>
      <c r="B42">
        <v>32488.38</v>
      </c>
      <c r="E42" t="s">
        <v>75</v>
      </c>
      <c r="F42">
        <v>95</v>
      </c>
      <c r="H42" s="3"/>
      <c r="I42" t="s">
        <v>39</v>
      </c>
      <c r="J42">
        <v>1647</v>
      </c>
      <c r="M42" t="s">
        <v>36</v>
      </c>
      <c r="N42">
        <v>2005</v>
      </c>
      <c r="O42">
        <v>5948</v>
      </c>
      <c r="P42">
        <v>26958</v>
      </c>
      <c r="Q42">
        <v>92.562505000000002</v>
      </c>
      <c r="R42" s="2">
        <v>196.658354</v>
      </c>
    </row>
    <row r="43" spans="1:19" x14ac:dyDescent="0.3">
      <c r="A43" t="s">
        <v>74</v>
      </c>
      <c r="B43">
        <v>31747.06</v>
      </c>
      <c r="E43" t="s">
        <v>72</v>
      </c>
      <c r="F43">
        <v>93</v>
      </c>
      <c r="H43" s="3"/>
      <c r="I43" t="s">
        <v>37</v>
      </c>
      <c r="J43">
        <v>1623</v>
      </c>
      <c r="M43" t="s">
        <v>42</v>
      </c>
      <c r="N43">
        <v>682</v>
      </c>
      <c r="O43">
        <v>1982</v>
      </c>
      <c r="P43">
        <v>8625</v>
      </c>
      <c r="Q43">
        <v>92.092753999999999</v>
      </c>
      <c r="R43" s="2">
        <v>190.615836</v>
      </c>
    </row>
    <row r="44" spans="1:19" x14ac:dyDescent="0.3">
      <c r="A44" t="s">
        <v>75</v>
      </c>
      <c r="B44">
        <v>31589</v>
      </c>
      <c r="E44" t="s">
        <v>79</v>
      </c>
      <c r="F44">
        <v>91</v>
      </c>
      <c r="H44" s="3"/>
      <c r="I44" t="s">
        <v>40</v>
      </c>
      <c r="J44">
        <v>1493</v>
      </c>
      <c r="M44" t="s">
        <v>41</v>
      </c>
      <c r="N44">
        <v>1234</v>
      </c>
      <c r="O44">
        <v>3550</v>
      </c>
      <c r="P44">
        <v>16071</v>
      </c>
      <c r="Q44">
        <v>92.321573000000001</v>
      </c>
      <c r="R44" s="2">
        <v>187.682334</v>
      </c>
    </row>
    <row r="45" spans="1:19" x14ac:dyDescent="0.3">
      <c r="A45" t="s">
        <v>76</v>
      </c>
      <c r="B45">
        <v>29238.38</v>
      </c>
      <c r="E45" t="s">
        <v>74</v>
      </c>
      <c r="F45">
        <v>88</v>
      </c>
      <c r="H45" s="3"/>
      <c r="I45" t="s">
        <v>35</v>
      </c>
      <c r="J45">
        <v>1402</v>
      </c>
      <c r="M45" t="s">
        <v>38</v>
      </c>
      <c r="N45">
        <v>1269</v>
      </c>
      <c r="O45">
        <v>3611</v>
      </c>
      <c r="P45">
        <v>16083</v>
      </c>
      <c r="Q45">
        <v>92.109680999999995</v>
      </c>
      <c r="R45" s="2">
        <v>184.554768</v>
      </c>
    </row>
    <row r="46" spans="1:19" x14ac:dyDescent="0.3">
      <c r="A46" t="s">
        <v>77</v>
      </c>
      <c r="B46">
        <v>28832.38</v>
      </c>
      <c r="E46" t="s">
        <v>76</v>
      </c>
      <c r="F46">
        <v>85</v>
      </c>
      <c r="H46" s="3"/>
      <c r="I46" t="s">
        <v>42</v>
      </c>
      <c r="J46">
        <v>1356</v>
      </c>
      <c r="M46" t="s">
        <v>39</v>
      </c>
      <c r="N46">
        <v>852</v>
      </c>
      <c r="O46">
        <v>2423</v>
      </c>
      <c r="P46">
        <v>11044</v>
      </c>
      <c r="Q46">
        <v>92.285404</v>
      </c>
      <c r="R46" s="2">
        <v>184.38967099999999</v>
      </c>
    </row>
    <row r="47" spans="1:19" x14ac:dyDescent="0.3">
      <c r="A47" t="s">
        <v>78</v>
      </c>
      <c r="B47">
        <v>28730.79</v>
      </c>
      <c r="E47" t="s">
        <v>81</v>
      </c>
      <c r="F47">
        <v>83</v>
      </c>
      <c r="H47" s="3"/>
      <c r="M47" t="s">
        <v>40</v>
      </c>
      <c r="N47">
        <v>773</v>
      </c>
      <c r="O47">
        <v>2166</v>
      </c>
      <c r="P47">
        <v>10012</v>
      </c>
      <c r="Q47">
        <v>92.279264999999995</v>
      </c>
      <c r="R47" s="2">
        <v>180.206986</v>
      </c>
    </row>
    <row r="48" spans="1:19" x14ac:dyDescent="0.3">
      <c r="A48" t="s">
        <v>79</v>
      </c>
      <c r="B48">
        <v>28142.23</v>
      </c>
      <c r="E48" t="s">
        <v>80</v>
      </c>
      <c r="F48">
        <v>83</v>
      </c>
      <c r="H48" s="3"/>
    </row>
    <row r="49" spans="1:18" x14ac:dyDescent="0.3">
      <c r="A49" t="s">
        <v>80</v>
      </c>
      <c r="B49">
        <v>27990.31</v>
      </c>
      <c r="E49" t="s">
        <v>82</v>
      </c>
      <c r="F49">
        <v>82</v>
      </c>
      <c r="H49" s="3"/>
    </row>
    <row r="50" spans="1:18" x14ac:dyDescent="0.3">
      <c r="M50" t="s">
        <v>115</v>
      </c>
    </row>
    <row r="51" spans="1:18" ht="15" customHeight="1" x14ac:dyDescent="0.3">
      <c r="M51" t="s">
        <v>43</v>
      </c>
      <c r="N51" t="s">
        <v>93</v>
      </c>
      <c r="O51" t="s">
        <v>90</v>
      </c>
      <c r="P51" t="s">
        <v>92</v>
      </c>
      <c r="Q51" t="s">
        <v>91</v>
      </c>
      <c r="R51" t="s">
        <v>114</v>
      </c>
    </row>
    <row r="52" spans="1:18" x14ac:dyDescent="0.3">
      <c r="A52" s="5"/>
      <c r="E52" t="s">
        <v>109</v>
      </c>
      <c r="H52" t="s">
        <v>112</v>
      </c>
      <c r="M52" t="s">
        <v>36</v>
      </c>
      <c r="N52">
        <v>523</v>
      </c>
      <c r="O52">
        <v>330</v>
      </c>
      <c r="P52">
        <v>1750</v>
      </c>
      <c r="Q52">
        <v>495</v>
      </c>
      <c r="R52">
        <v>3098</v>
      </c>
    </row>
    <row r="53" spans="1:18" x14ac:dyDescent="0.3">
      <c r="A53" t="s">
        <v>107</v>
      </c>
      <c r="E53" t="s">
        <v>110</v>
      </c>
      <c r="F53" t="s">
        <v>94</v>
      </c>
      <c r="H53" t="s">
        <v>108</v>
      </c>
      <c r="I53" t="s">
        <v>111</v>
      </c>
      <c r="M53" t="s">
        <v>38</v>
      </c>
      <c r="N53">
        <v>408</v>
      </c>
      <c r="O53">
        <v>167</v>
      </c>
      <c r="P53">
        <v>1277</v>
      </c>
      <c r="Q53">
        <v>350</v>
      </c>
      <c r="R53">
        <v>2202</v>
      </c>
    </row>
    <row r="54" spans="1:18" x14ac:dyDescent="0.3">
      <c r="A54" t="s">
        <v>70</v>
      </c>
      <c r="B54" t="s">
        <v>12</v>
      </c>
      <c r="E54" t="s">
        <v>90</v>
      </c>
      <c r="F54" s="2">
        <v>44.318894999999998</v>
      </c>
      <c r="H54" t="s">
        <v>92</v>
      </c>
      <c r="I54">
        <v>60.238238000000003</v>
      </c>
      <c r="M54" t="s">
        <v>41</v>
      </c>
      <c r="N54">
        <v>409</v>
      </c>
      <c r="O54">
        <v>138</v>
      </c>
      <c r="P54">
        <v>1325</v>
      </c>
      <c r="Q54">
        <v>334</v>
      </c>
      <c r="R54">
        <v>2206</v>
      </c>
    </row>
    <row r="55" spans="1:18" x14ac:dyDescent="0.3">
      <c r="A55" t="s">
        <v>97</v>
      </c>
      <c r="B55">
        <v>665.28</v>
      </c>
      <c r="E55" t="s">
        <v>91</v>
      </c>
      <c r="F55" s="2">
        <v>25.047080999999999</v>
      </c>
      <c r="H55" t="s">
        <v>93</v>
      </c>
      <c r="I55">
        <v>17.994277</v>
      </c>
      <c r="M55" t="s">
        <v>39</v>
      </c>
      <c r="N55">
        <v>317</v>
      </c>
      <c r="O55">
        <v>87</v>
      </c>
      <c r="P55">
        <v>1006</v>
      </c>
      <c r="Q55">
        <v>237</v>
      </c>
      <c r="R55">
        <v>1647</v>
      </c>
    </row>
    <row r="56" spans="1:18" x14ac:dyDescent="0.3">
      <c r="A56" t="s">
        <v>98</v>
      </c>
      <c r="B56">
        <v>650</v>
      </c>
      <c r="E56" t="s">
        <v>92</v>
      </c>
      <c r="F56" s="2">
        <v>23.875288000000001</v>
      </c>
      <c r="H56" t="s">
        <v>91</v>
      </c>
      <c r="I56">
        <v>14.839955</v>
      </c>
      <c r="M56" t="s">
        <v>37</v>
      </c>
      <c r="N56">
        <v>295</v>
      </c>
      <c r="O56">
        <v>82</v>
      </c>
      <c r="P56">
        <v>1027</v>
      </c>
      <c r="Q56">
        <v>219</v>
      </c>
      <c r="R56">
        <v>1623</v>
      </c>
    </row>
    <row r="57" spans="1:18" x14ac:dyDescent="0.3">
      <c r="A57" t="s">
        <v>99</v>
      </c>
      <c r="B57">
        <v>593.37</v>
      </c>
      <c r="E57" t="s">
        <v>93</v>
      </c>
      <c r="F57" s="2">
        <v>6.7587359999999999</v>
      </c>
      <c r="H57" t="s">
        <v>90</v>
      </c>
      <c r="I57">
        <v>6.92753</v>
      </c>
      <c r="M57" t="s">
        <v>40</v>
      </c>
      <c r="N57">
        <v>270</v>
      </c>
      <c r="O57">
        <v>98</v>
      </c>
      <c r="P57">
        <v>911</v>
      </c>
      <c r="Q57">
        <v>214</v>
      </c>
      <c r="R57">
        <v>1493</v>
      </c>
    </row>
    <row r="58" spans="1:18" x14ac:dyDescent="0.3">
      <c r="A58" t="s">
        <v>100</v>
      </c>
      <c r="B58">
        <v>559.04</v>
      </c>
      <c r="F58" s="2"/>
      <c r="M58" t="s">
        <v>35</v>
      </c>
      <c r="N58">
        <v>248</v>
      </c>
      <c r="O58">
        <v>61</v>
      </c>
      <c r="P58">
        <v>901</v>
      </c>
      <c r="Q58">
        <v>192</v>
      </c>
      <c r="R58">
        <v>1402</v>
      </c>
    </row>
    <row r="59" spans="1:18" x14ac:dyDescent="0.3">
      <c r="A59" t="s">
        <v>101</v>
      </c>
      <c r="B59">
        <v>536.36</v>
      </c>
      <c r="M59" t="s">
        <v>42</v>
      </c>
      <c r="N59">
        <v>234</v>
      </c>
      <c r="O59">
        <v>78</v>
      </c>
      <c r="P59">
        <v>855</v>
      </c>
      <c r="Q59">
        <v>189</v>
      </c>
      <c r="R59">
        <v>1356</v>
      </c>
    </row>
    <row r="60" spans="1:18" x14ac:dyDescent="0.3">
      <c r="A60" t="s">
        <v>102</v>
      </c>
      <c r="B60">
        <v>480.74</v>
      </c>
    </row>
    <row r="61" spans="1:18" x14ac:dyDescent="0.3">
      <c r="A61" t="s">
        <v>103</v>
      </c>
      <c r="B61">
        <v>474.64</v>
      </c>
      <c r="E61" t="s">
        <v>86</v>
      </c>
      <c r="F61" t="s">
        <v>116</v>
      </c>
      <c r="G61" s="2" t="s">
        <v>117</v>
      </c>
      <c r="H61" t="s">
        <v>11</v>
      </c>
    </row>
    <row r="62" spans="1:18" x14ac:dyDescent="0.3">
      <c r="A62" t="s">
        <v>104</v>
      </c>
      <c r="B62">
        <v>449.76</v>
      </c>
      <c r="E62" t="s">
        <v>42</v>
      </c>
      <c r="F62">
        <v>5.7611829999999999</v>
      </c>
      <c r="G62" s="2">
        <v>35.849057000000002</v>
      </c>
      <c r="H62">
        <v>11289</v>
      </c>
      <c r="M62" t="s">
        <v>49</v>
      </c>
      <c r="N62" s="2" t="s">
        <v>118</v>
      </c>
      <c r="O62" s="2" t="s">
        <v>119</v>
      </c>
      <c r="P62" t="s">
        <v>120</v>
      </c>
    </row>
    <row r="63" spans="1:18" x14ac:dyDescent="0.3">
      <c r="A63" t="s">
        <v>105</v>
      </c>
      <c r="B63">
        <v>290.92</v>
      </c>
      <c r="E63" t="s">
        <v>35</v>
      </c>
      <c r="F63">
        <v>5.7223319999999998</v>
      </c>
      <c r="G63" s="2">
        <v>35.987234000000001</v>
      </c>
      <c r="H63">
        <v>11593</v>
      </c>
      <c r="M63" t="s">
        <v>4</v>
      </c>
      <c r="N63" s="2">
        <v>2.5857860000000001</v>
      </c>
      <c r="O63" s="2">
        <v>-0.20710700000000001</v>
      </c>
      <c r="P63">
        <v>3975</v>
      </c>
    </row>
    <row r="64" spans="1:18" x14ac:dyDescent="0.3">
      <c r="A64" t="s">
        <v>106</v>
      </c>
      <c r="B64">
        <v>248.14</v>
      </c>
      <c r="E64" t="s">
        <v>38</v>
      </c>
      <c r="F64">
        <v>5.6366459999999998</v>
      </c>
      <c r="G64" s="2">
        <v>36.225731000000003</v>
      </c>
      <c r="H64">
        <v>20963</v>
      </c>
      <c r="M64" t="s">
        <v>3</v>
      </c>
      <c r="N64" s="2">
        <v>2.4679690000000001</v>
      </c>
      <c r="O64" s="2">
        <v>-0.266015</v>
      </c>
      <c r="P64">
        <v>11517</v>
      </c>
    </row>
    <row r="65" spans="5:16" x14ac:dyDescent="0.3">
      <c r="E65" t="s">
        <v>36</v>
      </c>
      <c r="F65">
        <v>5.5797309999999998</v>
      </c>
      <c r="G65" s="2">
        <v>36.504254000000003</v>
      </c>
      <c r="H65">
        <v>34911</v>
      </c>
      <c r="M65" t="s">
        <v>2</v>
      </c>
      <c r="N65" s="2">
        <v>4.5037409999999998</v>
      </c>
      <c r="O65" s="2">
        <v>0.75187000000000004</v>
      </c>
      <c r="P65">
        <v>53333</v>
      </c>
    </row>
    <row r="66" spans="5:16" x14ac:dyDescent="0.3">
      <c r="E66" t="s">
        <v>39</v>
      </c>
      <c r="F66">
        <v>5.5656119999999998</v>
      </c>
      <c r="G66" s="2">
        <v>36.608702000000001</v>
      </c>
      <c r="H66">
        <v>14319</v>
      </c>
    </row>
    <row r="67" spans="5:16" x14ac:dyDescent="0.3">
      <c r="E67" t="s">
        <v>40</v>
      </c>
      <c r="F67">
        <v>5.5602660000000004</v>
      </c>
      <c r="G67" s="2">
        <v>36.599490000000003</v>
      </c>
      <c r="H67">
        <v>12951</v>
      </c>
    </row>
    <row r="68" spans="5:16" x14ac:dyDescent="0.3">
      <c r="E68" t="s">
        <v>41</v>
      </c>
      <c r="F68">
        <v>5.5391029999999999</v>
      </c>
      <c r="G68" s="2">
        <v>36.317430000000002</v>
      </c>
      <c r="H68">
        <v>20855</v>
      </c>
    </row>
    <row r="69" spans="5:16" x14ac:dyDescent="0.3">
      <c r="E69" t="s">
        <v>37</v>
      </c>
      <c r="F69">
        <v>5.4117649999999999</v>
      </c>
      <c r="G69" s="2">
        <v>37.137208000000001</v>
      </c>
      <c r="H69">
        <v>14161</v>
      </c>
    </row>
    <row r="70" spans="5:16" x14ac:dyDescent="0.3">
      <c r="E70" s="2"/>
    </row>
    <row r="71" spans="5:16" x14ac:dyDescent="0.3">
      <c r="E71" s="2"/>
    </row>
    <row r="72" spans="5:16" x14ac:dyDescent="0.3">
      <c r="E72" s="2"/>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91FF3-3BBC-4565-B679-F29B8724B941}">
  <dimension ref="A1"/>
  <sheetViews>
    <sheetView tabSelected="1" topLeftCell="A85" zoomScale="98" zoomScaleNormal="98" workbookViewId="0">
      <selection activeCell="R331" sqref="R331"/>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Paramita Dey</dc:creator>
  <cp:lastModifiedBy>Paramita Dey</cp:lastModifiedBy>
  <dcterms:created xsi:type="dcterms:W3CDTF">2025-10-26T15:11:05Z</dcterms:created>
  <dcterms:modified xsi:type="dcterms:W3CDTF">2025-11-05T20:13:39Z</dcterms:modified>
</cp:coreProperties>
</file>